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sponticelli\Downloads\"/>
    </mc:Choice>
  </mc:AlternateContent>
  <xr:revisionPtr revIDLastSave="0" documentId="13_ncr:1_{223FC211-CAEC-43D6-AEF7-FB78530F027C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CONSULTA 1" sheetId="4" r:id="rId1"/>
    <sheet name="CONSULTA 2" sheetId="5" r:id="rId2"/>
    <sheet name="CONSULTA 3" sheetId="6" r:id="rId3"/>
    <sheet name="CONSULTA 4" sheetId="1" r:id="rId4"/>
    <sheet name="LISTAS" sheetId="2" r:id="rId5"/>
    <sheet name="GRÁFICO 1" sheetId="7" r:id="rId6"/>
    <sheet name="GRÁFICO 2" sheetId="8" r:id="rId7"/>
    <sheet name="DADOS" sheetId="3" r:id="rId8"/>
  </sheets>
  <externalReferences>
    <externalReference r:id="rId9"/>
  </externalReferences>
  <definedNames>
    <definedName name="_xlnm._FilterDatabase" localSheetId="7" hidden="1">DADOS!$A$1:$F$101</definedName>
  </definedNames>
  <calcPr calcId="181029" forceFullCalc="1"/>
</workbook>
</file>

<file path=xl/calcChain.xml><?xml version="1.0" encoding="utf-8"?>
<calcChain xmlns="http://schemas.openxmlformats.org/spreadsheetml/2006/main">
  <c r="G101" i="3" l="1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A12" i="1" l="1"/>
  <c r="E12" i="1" s="1"/>
  <c r="A9" i="1"/>
  <c r="A11" i="1"/>
  <c r="A10" i="1"/>
  <c r="A8" i="1"/>
  <c r="B12" i="1" l="1"/>
  <c r="D12" i="1"/>
  <c r="C12" i="1"/>
  <c r="E8" i="1"/>
  <c r="D8" i="1"/>
  <c r="C8" i="1"/>
  <c r="B8" i="1"/>
  <c r="C10" i="1"/>
  <c r="E10" i="1"/>
  <c r="B10" i="1"/>
  <c r="D10" i="1"/>
  <c r="B11" i="1"/>
  <c r="D11" i="1"/>
  <c r="E11" i="1"/>
  <c r="C11" i="1"/>
  <c r="D9" i="1"/>
  <c r="C9" i="1"/>
  <c r="B9" i="1"/>
  <c r="E9" i="1"/>
</calcChain>
</file>

<file path=xl/sharedStrings.xml><?xml version="1.0" encoding="utf-8"?>
<sst xmlns="http://schemas.openxmlformats.org/spreadsheetml/2006/main" count="645" uniqueCount="52">
  <si>
    <t>CONSULTA 4 — EVOLUÇÃO DE PREÇO</t>
  </si>
  <si>
    <t>Escolha o posto:</t>
  </si>
  <si>
    <t>AUTO POSTO MARLIN LTDA</t>
  </si>
  <si>
    <t>Escolha o combustível:</t>
  </si>
  <si>
    <t>GASOLINA</t>
  </si>
  <si>
    <t>Nome do posto</t>
  </si>
  <si>
    <t>Bairro</t>
  </si>
  <si>
    <t>Tipo combustível</t>
  </si>
  <si>
    <t>Valor</t>
  </si>
  <si>
    <t>Data coleta</t>
  </si>
  <si>
    <t>POSTOS</t>
  </si>
  <si>
    <t>COMBUSTÍVEIS</t>
  </si>
  <si>
    <t>J. S. PETROLEO E COMERCIO LTDA.</t>
  </si>
  <si>
    <t>GASOLINA ADITIVADA</t>
  </si>
  <si>
    <t>POSTO PARADA VITORIA LTDA</t>
  </si>
  <si>
    <t>ETANOL</t>
  </si>
  <si>
    <t>POSTO ATLANTICO LTDA</t>
  </si>
  <si>
    <t>DIESEL</t>
  </si>
  <si>
    <t>POSTO ARVOREDO LTDA</t>
  </si>
  <si>
    <t>NOME POSTO</t>
  </si>
  <si>
    <t>BAIRRO</t>
  </si>
  <si>
    <t>ENDEREÇO</t>
  </si>
  <si>
    <t>TIPO COMBUSTÍVEL</t>
  </si>
  <si>
    <t>VALOR</t>
  </si>
  <si>
    <t>DATA COLETA</t>
  </si>
  <si>
    <t>ORDEM</t>
  </si>
  <si>
    <t>SANTA LUCIA</t>
  </si>
  <si>
    <t>RUA JUIZ ALEXANDRE MARTINS DE CASTRO FILHO</t>
  </si>
  <si>
    <t>MATA DA PRAIA</t>
  </si>
  <si>
    <t>AVENIDA DANTE MICHELINI</t>
  </si>
  <si>
    <t>CONSOLACAO</t>
  </si>
  <si>
    <t>AVENIDA MARECHALCAMPOS</t>
  </si>
  <si>
    <t>JARDIM CAMBURI</t>
  </si>
  <si>
    <t>HORTO</t>
  </si>
  <si>
    <t>AVENIDA VITORIA</t>
  </si>
  <si>
    <t>CONSULTA 1 — MENOR E MAIOR PREÇO</t>
  </si>
  <si>
    <t>nome_posto</t>
  </si>
  <si>
    <t>endereco</t>
  </si>
  <si>
    <t>bairro</t>
  </si>
  <si>
    <t>tipo_combustivel</t>
  </si>
  <si>
    <t>valor</t>
  </si>
  <si>
    <t>data_coleta</t>
  </si>
  <si>
    <t>resultado</t>
  </si>
  <si>
    <t>MAIOR PREÇO</t>
  </si>
  <si>
    <t>MENOR PREÇO</t>
  </si>
  <si>
    <t>CONSULTA 2 — MÉDIA E QUANTIDADE DE AMOSTRAS</t>
  </si>
  <si>
    <t>preco_medio</t>
  </si>
  <si>
    <t>quantidade_amostras</t>
  </si>
  <si>
    <t>CONSULTA 3 — PREÇO MAIS RECENTE</t>
  </si>
  <si>
    <t>GRÁFICO 1 — EVOLUÇÃO DO PREÇO MÉDIO DE CADA COMBUSTÍVEL</t>
  </si>
  <si>
    <t>data</t>
  </si>
  <si>
    <t>GRÁFICO 2 — EVOLUÇÃO DO PREÇO MÉDIO POR 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</si>
</sst>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  <font>
      <b/>
      <sz val="18"/>
      <color rgb="FFFFFFFF"/>
      <name val="Calibri"/>
    </font>
    <font>
      <b/>
      <sz val="1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3" fillId="4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4" fillId="0" borderId="0" xfId="0" applyFont="1"/>
    <xf numFmtId="0" fontId="3" fillId="4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165" fontId="0" fillId="0" borderId="0" xfId="0" applyNumberFormat="1"/>
    <xf numFmtId="165" fontId="3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2" borderId="1" xfId="0" applyFont="1" applyFill="1" applyBorder="1"/>
    <xf numFmtId="14" fontId="0" fillId="0" borderId="0" xfId="0" applyNumberFormat="1"/>
    <xf numFmtId="16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do preço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'CONSULTA 4'!$D$7</c:f>
              <c:strCache>
                <c:ptCount val="1"/>
                <c:pt idx="0">
                  <c:v>Valor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F9-4733-AD79-FD107BEE20B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F9-4733-AD79-FD107BEE20B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F9-4733-AD79-FD107BEE20B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F9-4733-AD79-FD107BEE20B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CF9-4733-AD79-FD107BEE20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'CONSULTA 4'!$E$8:$E$12</c:f>
              <c:numCache>
                <c:formatCode>m/d/yyyy</c:formatCode>
                <c:ptCount val="5"/>
                <c:pt idx="0">
                  <c:v>46049</c:v>
                </c:pt>
                <c:pt idx="1">
                  <c:v>46034</c:v>
                </c:pt>
                <c:pt idx="2">
                  <c:v>46042</c:v>
                </c:pt>
                <c:pt idx="3">
                  <c:v>46047</c:v>
                </c:pt>
                <c:pt idx="4">
                  <c:v>46055</c:v>
                </c:pt>
              </c:numCache>
            </c:numRef>
          </c:cat>
          <c:val>
            <c:numRef>
              <c:f>'CONSULTA 4'!$D$8:$D$12</c:f>
              <c:numCache>
                <c:formatCode>\R\$\ #,##0.00</c:formatCode>
                <c:ptCount val="5"/>
                <c:pt idx="0">
                  <c:v>6.25</c:v>
                </c:pt>
                <c:pt idx="1">
                  <c:v>6.25</c:v>
                </c:pt>
                <c:pt idx="2">
                  <c:v>6.25</c:v>
                </c:pt>
                <c:pt idx="3">
                  <c:v>6.25</c:v>
                </c:pt>
                <c:pt idx="4">
                  <c:v>6.25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88-4720-9E19-12C4CCC792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Preço médio por combustível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'[1]GRÁFICO 1'!$B$5</c:f>
              <c:strCache>
                <c:ptCount val="1"/>
                <c:pt idx="0">
                  <c:v>5,49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1'!$A$6:$A$14</c:f>
              <c:numCache>
                <c:formatCode>General</c:formatCode>
                <c:ptCount val="9"/>
                <c:pt idx="0">
                  <c:v>46036</c:v>
                </c:pt>
                <c:pt idx="1">
                  <c:v>46037</c:v>
                </c:pt>
                <c:pt idx="2">
                  <c:v>46042</c:v>
                </c:pt>
                <c:pt idx="3">
                  <c:v>46047</c:v>
                </c:pt>
                <c:pt idx="4">
                  <c:v>46049</c:v>
                </c:pt>
                <c:pt idx="5">
                  <c:v>46055</c:v>
                </c:pt>
                <c:pt idx="6">
                  <c:v>46063</c:v>
                </c:pt>
                <c:pt idx="7">
                  <c:v>46064</c:v>
                </c:pt>
                <c:pt idx="8">
                  <c:v>46076</c:v>
                </c:pt>
              </c:numCache>
            </c:numRef>
          </c:cat>
          <c:val>
            <c:numRef>
              <c:f>'[1]GRÁFICO 1'!$B$6:$B$14</c:f>
              <c:numCache>
                <c:formatCode>General</c:formatCode>
                <c:ptCount val="9"/>
                <c:pt idx="0">
                  <c:v>6.39</c:v>
                </c:pt>
                <c:pt idx="1">
                  <c:v>4.09</c:v>
                </c:pt>
                <c:pt idx="2">
                  <c:v>5.67</c:v>
                </c:pt>
                <c:pt idx="3">
                  <c:v>5.99</c:v>
                </c:pt>
                <c:pt idx="4">
                  <c:v>5.67</c:v>
                </c:pt>
                <c:pt idx="5">
                  <c:v>5.99</c:v>
                </c:pt>
                <c:pt idx="6">
                  <c:v>4.99</c:v>
                </c:pt>
                <c:pt idx="7">
                  <c:v>6.39</c:v>
                </c:pt>
                <c:pt idx="8">
                  <c:v>6.39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D3-4596-AC5B-D2FB21305289}"/>
            </c:ext>
          </c:extLst>
        </c:ser>
        <c:ser>
          <c:idx val="1"/>
          <c:order val="1"/>
          <c:tx>
            <c:strRef>
              <c:f>'[1]GRÁFICO 1'!$C$5</c:f>
              <c:strCache>
                <c:ptCount val="1"/>
                <c:pt idx="0">
                  <c:v>4,61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1'!$A$6:$A$14</c:f>
              <c:numCache>
                <c:formatCode>General</c:formatCode>
                <c:ptCount val="9"/>
                <c:pt idx="0">
                  <c:v>46036</c:v>
                </c:pt>
                <c:pt idx="1">
                  <c:v>46037</c:v>
                </c:pt>
                <c:pt idx="2">
                  <c:v>46042</c:v>
                </c:pt>
                <c:pt idx="3">
                  <c:v>46047</c:v>
                </c:pt>
                <c:pt idx="4">
                  <c:v>46049</c:v>
                </c:pt>
                <c:pt idx="5">
                  <c:v>46055</c:v>
                </c:pt>
                <c:pt idx="6">
                  <c:v>46063</c:v>
                </c:pt>
                <c:pt idx="7">
                  <c:v>46064</c:v>
                </c:pt>
                <c:pt idx="8">
                  <c:v>46076</c:v>
                </c:pt>
              </c:numCache>
            </c:numRef>
          </c:cat>
          <c:val>
            <c:numRef>
              <c:f>'[1]GRÁFICO 1'!$C$6:$C$14</c:f>
              <c:numCache>
                <c:formatCode>General</c:formatCode>
                <c:ptCount val="9"/>
                <c:pt idx="0">
                  <c:v>4.99</c:v>
                </c:pt>
                <c:pt idx="1">
                  <c:v>4.59</c:v>
                </c:pt>
                <c:pt idx="2">
                  <c:v>4.74</c:v>
                </c:pt>
                <c:pt idx="3">
                  <c:v>4.6500000000000004</c:v>
                </c:pt>
                <c:pt idx="4">
                  <c:v>4.76</c:v>
                </c:pt>
                <c:pt idx="5">
                  <c:v>4.7699999999999996</c:v>
                </c:pt>
                <c:pt idx="6">
                  <c:v>4.6399999999999997</c:v>
                </c:pt>
                <c:pt idx="7">
                  <c:v>4.99</c:v>
                </c:pt>
                <c:pt idx="8">
                  <c:v>4.99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D3-4596-AC5B-D2FB21305289}"/>
            </c:ext>
          </c:extLst>
        </c:ser>
        <c:ser>
          <c:idx val="2"/>
          <c:order val="2"/>
          <c:tx>
            <c:strRef>
              <c:f>'[1]GRÁFICO 1'!$D$5</c:f>
              <c:strCache>
                <c:ptCount val="1"/>
                <c:pt idx="0">
                  <c:v>6,16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1'!$A$6:$A$14</c:f>
              <c:numCache>
                <c:formatCode>General</c:formatCode>
                <c:ptCount val="9"/>
                <c:pt idx="0">
                  <c:v>46036</c:v>
                </c:pt>
                <c:pt idx="1">
                  <c:v>46037</c:v>
                </c:pt>
                <c:pt idx="2">
                  <c:v>46042</c:v>
                </c:pt>
                <c:pt idx="3">
                  <c:v>46047</c:v>
                </c:pt>
                <c:pt idx="4">
                  <c:v>46049</c:v>
                </c:pt>
                <c:pt idx="5">
                  <c:v>46055</c:v>
                </c:pt>
                <c:pt idx="6">
                  <c:v>46063</c:v>
                </c:pt>
                <c:pt idx="7">
                  <c:v>46064</c:v>
                </c:pt>
                <c:pt idx="8">
                  <c:v>46076</c:v>
                </c:pt>
              </c:numCache>
            </c:numRef>
          </c:cat>
          <c:val>
            <c:numRef>
              <c:f>'[1]GRÁFICO 1'!$D$6:$D$14</c:f>
              <c:numCache>
                <c:formatCode>General</c:formatCode>
                <c:ptCount val="9"/>
                <c:pt idx="0">
                  <c:v>6.29</c:v>
                </c:pt>
                <c:pt idx="1">
                  <c:v>6.29</c:v>
                </c:pt>
                <c:pt idx="2">
                  <c:v>6.18</c:v>
                </c:pt>
                <c:pt idx="3">
                  <c:v>5.99</c:v>
                </c:pt>
                <c:pt idx="4">
                  <c:v>6.02</c:v>
                </c:pt>
                <c:pt idx="5">
                  <c:v>6.04</c:v>
                </c:pt>
                <c:pt idx="6">
                  <c:v>5.99</c:v>
                </c:pt>
                <c:pt idx="7">
                  <c:v>6.09</c:v>
                </c:pt>
                <c:pt idx="8">
                  <c:v>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9D3-4596-AC5B-D2FB21305289}"/>
            </c:ext>
          </c:extLst>
        </c:ser>
        <c:ser>
          <c:idx val="3"/>
          <c:order val="3"/>
          <c:tx>
            <c:strRef>
              <c:f>'[1]GRÁFICO 1'!$E$5</c:f>
              <c:strCache>
                <c:ptCount val="1"/>
                <c:pt idx="0">
                  <c:v>6,28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1'!$A$6:$A$14</c:f>
              <c:numCache>
                <c:formatCode>General</c:formatCode>
                <c:ptCount val="9"/>
                <c:pt idx="0">
                  <c:v>46036</c:v>
                </c:pt>
                <c:pt idx="1">
                  <c:v>46037</c:v>
                </c:pt>
                <c:pt idx="2">
                  <c:v>46042</c:v>
                </c:pt>
                <c:pt idx="3">
                  <c:v>46047</c:v>
                </c:pt>
                <c:pt idx="4">
                  <c:v>46049</c:v>
                </c:pt>
                <c:pt idx="5">
                  <c:v>46055</c:v>
                </c:pt>
                <c:pt idx="6">
                  <c:v>46063</c:v>
                </c:pt>
                <c:pt idx="7">
                  <c:v>46064</c:v>
                </c:pt>
                <c:pt idx="8">
                  <c:v>46076</c:v>
                </c:pt>
              </c:numCache>
            </c:numRef>
          </c:cat>
          <c:val>
            <c:numRef>
              <c:f>'[1]GRÁFICO 1'!$E$6:$E$14</c:f>
              <c:numCache>
                <c:formatCode>General</c:formatCode>
                <c:ptCount val="9"/>
                <c:pt idx="0">
                  <c:v>6.64</c:v>
                </c:pt>
                <c:pt idx="1">
                  <c:v>6.59</c:v>
                </c:pt>
                <c:pt idx="2">
                  <c:v>6.35</c:v>
                </c:pt>
                <c:pt idx="3">
                  <c:v>6.25</c:v>
                </c:pt>
                <c:pt idx="4">
                  <c:v>6.25</c:v>
                </c:pt>
                <c:pt idx="5">
                  <c:v>6.17</c:v>
                </c:pt>
                <c:pt idx="6">
                  <c:v>6.19</c:v>
                </c:pt>
                <c:pt idx="7">
                  <c:v>6.44</c:v>
                </c:pt>
                <c:pt idx="8">
                  <c:v>6.34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9D3-4596-AC5B-D2FB2130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Preço (R$)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AUTO POSTO MARLIN LTDA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'[1]GRÁFICO 2'!$B$5</c:f>
              <c:strCache>
                <c:ptCount val="1"/>
                <c:pt idx="0">
                  <c:v>DIESEL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2'!$A$6:$A$10</c:f>
              <c:numCache>
                <c:formatCode>General</c:formatCode>
                <c:ptCount val="5"/>
                <c:pt idx="0">
                  <c:v>46028</c:v>
                </c:pt>
                <c:pt idx="1">
                  <c:v>46034</c:v>
                </c:pt>
                <c:pt idx="2">
                  <c:v>46042</c:v>
                </c:pt>
                <c:pt idx="3">
                  <c:v>46049</c:v>
                </c:pt>
                <c:pt idx="4">
                  <c:v>46055</c:v>
                </c:pt>
              </c:numCache>
            </c:numRef>
          </c:cat>
          <c:val>
            <c:numRef>
              <c:f>'[1]GRÁFICO 2'!$B$6:$B$10</c:f>
              <c:numCache>
                <c:formatCode>General</c:formatCode>
                <c:ptCount val="5"/>
                <c:pt idx="0">
                  <c:v>5.99</c:v>
                </c:pt>
                <c:pt idx="1">
                  <c:v>5.99</c:v>
                </c:pt>
                <c:pt idx="2">
                  <c:v>5.99</c:v>
                </c:pt>
                <c:pt idx="3">
                  <c:v>5.99</c:v>
                </c:pt>
                <c:pt idx="4">
                  <c:v>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60-48B6-9AAF-F6CF4D6229B7}"/>
            </c:ext>
          </c:extLst>
        </c:ser>
        <c:ser>
          <c:idx val="1"/>
          <c:order val="1"/>
          <c:tx>
            <c:strRef>
              <c:f>'[1]GRÁFICO 2'!$C$5</c:f>
              <c:strCache>
                <c:ptCount val="1"/>
                <c:pt idx="0">
                  <c:v>ETANOL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2'!$A$6:$A$10</c:f>
              <c:numCache>
                <c:formatCode>General</c:formatCode>
                <c:ptCount val="5"/>
                <c:pt idx="0">
                  <c:v>46028</c:v>
                </c:pt>
                <c:pt idx="1">
                  <c:v>46034</c:v>
                </c:pt>
                <c:pt idx="2">
                  <c:v>46042</c:v>
                </c:pt>
                <c:pt idx="3">
                  <c:v>46049</c:v>
                </c:pt>
                <c:pt idx="4">
                  <c:v>46055</c:v>
                </c:pt>
              </c:numCache>
            </c:numRef>
          </c:cat>
          <c:val>
            <c:numRef>
              <c:f>'[1]GRÁFICO 2'!$C$6:$C$10</c:f>
              <c:numCache>
                <c:formatCode>General</c:formatCode>
                <c:ptCount val="5"/>
                <c:pt idx="0">
                  <c:v>4.49</c:v>
                </c:pt>
                <c:pt idx="1">
                  <c:v>4.8899999999999997</c:v>
                </c:pt>
                <c:pt idx="2">
                  <c:v>4.8899999999999997</c:v>
                </c:pt>
                <c:pt idx="3">
                  <c:v>4.8899999999999997</c:v>
                </c:pt>
                <c:pt idx="4">
                  <c:v>4.8899999999999997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60-48B6-9AAF-F6CF4D6229B7}"/>
            </c:ext>
          </c:extLst>
        </c:ser>
        <c:ser>
          <c:idx val="2"/>
          <c:order val="2"/>
          <c:tx>
            <c:strRef>
              <c:f>'[1]GRÁFICO 2'!$D$5</c:f>
              <c:strCache>
                <c:ptCount val="1"/>
                <c:pt idx="0">
                  <c:v>GASOLINA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2'!$A$6:$A$10</c:f>
              <c:numCache>
                <c:formatCode>General</c:formatCode>
                <c:ptCount val="5"/>
                <c:pt idx="0">
                  <c:v>46028</c:v>
                </c:pt>
                <c:pt idx="1">
                  <c:v>46034</c:v>
                </c:pt>
                <c:pt idx="2">
                  <c:v>46042</c:v>
                </c:pt>
                <c:pt idx="3">
                  <c:v>46049</c:v>
                </c:pt>
                <c:pt idx="4">
                  <c:v>46055</c:v>
                </c:pt>
              </c:numCache>
            </c:numRef>
          </c:cat>
          <c:val>
            <c:numRef>
              <c:f>'[1]GRÁFICO 2'!$D$6:$D$10</c:f>
              <c:numCache>
                <c:formatCode>General</c:formatCode>
                <c:ptCount val="5"/>
                <c:pt idx="0">
                  <c:v>6.29</c:v>
                </c:pt>
                <c:pt idx="1">
                  <c:v>6.29</c:v>
                </c:pt>
                <c:pt idx="2">
                  <c:v>6.29</c:v>
                </c:pt>
                <c:pt idx="3">
                  <c:v>6.09</c:v>
                </c:pt>
                <c:pt idx="4">
                  <c:v>6.09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760-48B6-9AAF-F6CF4D6229B7}"/>
            </c:ext>
          </c:extLst>
        </c:ser>
        <c:ser>
          <c:idx val="3"/>
          <c:order val="3"/>
          <c:tx>
            <c:strRef>
              <c:f>'[1]GRÁFICO 2'!$E$5</c:f>
              <c:strCache>
                <c:ptCount val="1"/>
                <c:pt idx="0">
                  <c:v>GASOLINA ADITIVADA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2'!$A$6:$A$10</c:f>
              <c:numCache>
                <c:formatCode>General</c:formatCode>
                <c:ptCount val="5"/>
                <c:pt idx="0">
                  <c:v>46028</c:v>
                </c:pt>
                <c:pt idx="1">
                  <c:v>46034</c:v>
                </c:pt>
                <c:pt idx="2">
                  <c:v>46042</c:v>
                </c:pt>
                <c:pt idx="3">
                  <c:v>46049</c:v>
                </c:pt>
                <c:pt idx="4">
                  <c:v>46055</c:v>
                </c:pt>
              </c:numCache>
            </c:numRef>
          </c:cat>
          <c:val>
            <c:numRef>
              <c:f>'[1]GRÁFICO 2'!$E$6:$E$10</c:f>
              <c:numCache>
                <c:formatCode>General</c:formatCode>
                <c:ptCount val="5"/>
                <c:pt idx="0">
                  <c:v>6.29</c:v>
                </c:pt>
                <c:pt idx="1">
                  <c:v>6.29</c:v>
                </c:pt>
                <c:pt idx="2">
                  <c:v>6.29</c:v>
                </c:pt>
                <c:pt idx="3">
                  <c:v>6.09</c:v>
                </c:pt>
                <c:pt idx="4">
                  <c:v>6.09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760-48B6-9AAF-F6CF4D62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Preço (R$)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J. S. PETROLEO E COMERCIO LTDA.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'[1]GRÁFICO 2'!$B$30</c:f>
              <c:strCache>
                <c:ptCount val="1"/>
                <c:pt idx="0">
                  <c:v>DIESEL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2'!$A$31:$A$35</c:f>
              <c:numCache>
                <c:formatCode>General</c:formatCode>
                <c:ptCount val="5"/>
                <c:pt idx="0">
                  <c:v>46034</c:v>
                </c:pt>
                <c:pt idx="1">
                  <c:v>46037</c:v>
                </c:pt>
                <c:pt idx="2">
                  <c:v>46042</c:v>
                </c:pt>
                <c:pt idx="3">
                  <c:v>46049</c:v>
                </c:pt>
                <c:pt idx="4">
                  <c:v>46063</c:v>
                </c:pt>
              </c:numCache>
            </c:numRef>
          </c:cat>
          <c:val>
            <c:numRef>
              <c:f>'[1]GRÁFICO 2'!$B$31:$B$35</c:f>
              <c:numCache>
                <c:formatCode>General</c:formatCode>
                <c:ptCount val="5"/>
                <c:pt idx="0">
                  <c:v>4.09</c:v>
                </c:pt>
                <c:pt idx="1">
                  <c:v>4.09</c:v>
                </c:pt>
                <c:pt idx="2">
                  <c:v>4.09</c:v>
                </c:pt>
                <c:pt idx="3">
                  <c:v>4.09</c:v>
                </c:pt>
                <c:pt idx="4">
                  <c:v>4.09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63-453C-BA46-FB47C0BFF788}"/>
            </c:ext>
          </c:extLst>
        </c:ser>
        <c:ser>
          <c:idx val="1"/>
          <c:order val="1"/>
          <c:tx>
            <c:strRef>
              <c:f>'[1]GRÁFICO 2'!$C$30</c:f>
              <c:strCache>
                <c:ptCount val="1"/>
                <c:pt idx="0">
                  <c:v>ETANOL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2'!$A$31:$A$35</c:f>
              <c:numCache>
                <c:formatCode>General</c:formatCode>
                <c:ptCount val="5"/>
                <c:pt idx="0">
                  <c:v>46034</c:v>
                </c:pt>
                <c:pt idx="1">
                  <c:v>46037</c:v>
                </c:pt>
                <c:pt idx="2">
                  <c:v>46042</c:v>
                </c:pt>
                <c:pt idx="3">
                  <c:v>46049</c:v>
                </c:pt>
                <c:pt idx="4">
                  <c:v>46063</c:v>
                </c:pt>
              </c:numCache>
            </c:numRef>
          </c:cat>
          <c:val>
            <c:numRef>
              <c:f>'[1]GRÁFICO 2'!$C$31:$C$35</c:f>
              <c:numCache>
                <c:formatCode>General</c:formatCode>
                <c:ptCount val="5"/>
                <c:pt idx="0">
                  <c:v>4.59</c:v>
                </c:pt>
                <c:pt idx="1">
                  <c:v>4.59</c:v>
                </c:pt>
                <c:pt idx="2">
                  <c:v>4.59</c:v>
                </c:pt>
                <c:pt idx="3">
                  <c:v>4.79</c:v>
                </c:pt>
                <c:pt idx="4">
                  <c:v>4.79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63-453C-BA46-FB47C0BFF788}"/>
            </c:ext>
          </c:extLst>
        </c:ser>
        <c:ser>
          <c:idx val="2"/>
          <c:order val="2"/>
          <c:tx>
            <c:strRef>
              <c:f>'[1]GRÁFICO 2'!$D$30</c:f>
              <c:strCache>
                <c:ptCount val="1"/>
                <c:pt idx="0">
                  <c:v>GASOLINA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2'!$A$31:$A$35</c:f>
              <c:numCache>
                <c:formatCode>General</c:formatCode>
                <c:ptCount val="5"/>
                <c:pt idx="0">
                  <c:v>46034</c:v>
                </c:pt>
                <c:pt idx="1">
                  <c:v>46037</c:v>
                </c:pt>
                <c:pt idx="2">
                  <c:v>46042</c:v>
                </c:pt>
                <c:pt idx="3">
                  <c:v>46049</c:v>
                </c:pt>
                <c:pt idx="4">
                  <c:v>46063</c:v>
                </c:pt>
              </c:numCache>
            </c:numRef>
          </c:cat>
          <c:val>
            <c:numRef>
              <c:f>'[1]GRÁFICO 2'!$D$31:$D$35</c:f>
              <c:numCache>
                <c:formatCode>General</c:formatCode>
                <c:ptCount val="5"/>
                <c:pt idx="0">
                  <c:v>6.29</c:v>
                </c:pt>
                <c:pt idx="1">
                  <c:v>6.29</c:v>
                </c:pt>
                <c:pt idx="2">
                  <c:v>6.29</c:v>
                </c:pt>
                <c:pt idx="3">
                  <c:v>6.09</c:v>
                </c:pt>
                <c:pt idx="4">
                  <c:v>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63-453C-BA46-FB47C0BFF788}"/>
            </c:ext>
          </c:extLst>
        </c:ser>
        <c:ser>
          <c:idx val="3"/>
          <c:order val="3"/>
          <c:tx>
            <c:strRef>
              <c:f>'[1]GRÁFICO 2'!$E$30</c:f>
              <c:strCache>
                <c:ptCount val="1"/>
                <c:pt idx="0">
                  <c:v>GASOLINA ADITIVADA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2'!$A$31:$A$35</c:f>
              <c:numCache>
                <c:formatCode>General</c:formatCode>
                <c:ptCount val="5"/>
                <c:pt idx="0">
                  <c:v>46034</c:v>
                </c:pt>
                <c:pt idx="1">
                  <c:v>46037</c:v>
                </c:pt>
                <c:pt idx="2">
                  <c:v>46042</c:v>
                </c:pt>
                <c:pt idx="3">
                  <c:v>46049</c:v>
                </c:pt>
                <c:pt idx="4">
                  <c:v>46063</c:v>
                </c:pt>
              </c:numCache>
            </c:numRef>
          </c:cat>
          <c:val>
            <c:numRef>
              <c:f>'[1]GRÁFICO 2'!$E$31:$E$35</c:f>
              <c:numCache>
                <c:formatCode>General</c:formatCode>
                <c:ptCount val="5"/>
                <c:pt idx="0">
                  <c:v>6.59</c:v>
                </c:pt>
                <c:pt idx="1">
                  <c:v>6.59</c:v>
                </c:pt>
                <c:pt idx="2">
                  <c:v>6.59</c:v>
                </c:pt>
                <c:pt idx="3">
                  <c:v>6.49</c:v>
                </c:pt>
                <c:pt idx="4">
                  <c:v>6.39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E63-453C-BA46-FB47C0BFF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Preço (R$)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POSTO ARVOREDO LTDA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'[1]GRÁFICO 2'!$B$55</c:f>
              <c:strCache>
                <c:ptCount val="1"/>
                <c:pt idx="0">
                  <c:v>DIESEL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2'!$A$56:$A$60</c:f>
              <c:numCache>
                <c:formatCode>General</c:formatCode>
                <c:ptCount val="5"/>
                <c:pt idx="0">
                  <c:v>46028</c:v>
                </c:pt>
                <c:pt idx="1">
                  <c:v>46034</c:v>
                </c:pt>
                <c:pt idx="2">
                  <c:v>46042</c:v>
                </c:pt>
                <c:pt idx="3">
                  <c:v>46049</c:v>
                </c:pt>
                <c:pt idx="4">
                  <c:v>46063</c:v>
                </c:pt>
              </c:numCache>
            </c:numRef>
          </c:cat>
          <c:val>
            <c:numRef>
              <c:f>'[1]GRÁFICO 2'!$B$56:$B$60</c:f>
              <c:numCache>
                <c:formatCode>General</c:formatCode>
                <c:ptCount val="5"/>
                <c:pt idx="0">
                  <c:v>5.89</c:v>
                </c:pt>
                <c:pt idx="1">
                  <c:v>5.89</c:v>
                </c:pt>
                <c:pt idx="2">
                  <c:v>5.89</c:v>
                </c:pt>
                <c:pt idx="3">
                  <c:v>5.89</c:v>
                </c:pt>
                <c:pt idx="4">
                  <c:v>5.89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13-4952-A431-D84B632221A4}"/>
            </c:ext>
          </c:extLst>
        </c:ser>
        <c:ser>
          <c:idx val="1"/>
          <c:order val="1"/>
          <c:tx>
            <c:strRef>
              <c:f>'[1]GRÁFICO 2'!$C$55</c:f>
              <c:strCache>
                <c:ptCount val="1"/>
                <c:pt idx="0">
                  <c:v>ETANOL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2'!$A$56:$A$60</c:f>
              <c:numCache>
                <c:formatCode>General</c:formatCode>
                <c:ptCount val="5"/>
                <c:pt idx="0">
                  <c:v>46028</c:v>
                </c:pt>
                <c:pt idx="1">
                  <c:v>46034</c:v>
                </c:pt>
                <c:pt idx="2">
                  <c:v>46042</c:v>
                </c:pt>
                <c:pt idx="3">
                  <c:v>46049</c:v>
                </c:pt>
                <c:pt idx="4">
                  <c:v>46063</c:v>
                </c:pt>
              </c:numCache>
            </c:numRef>
          </c:cat>
          <c:val>
            <c:numRef>
              <c:f>'[1]GRÁFICO 2'!$C$56:$C$60</c:f>
              <c:numCache>
                <c:formatCode>General</c:formatCode>
                <c:ptCount val="5"/>
                <c:pt idx="0">
                  <c:v>4.3899999999999997</c:v>
                </c:pt>
                <c:pt idx="1">
                  <c:v>4.49</c:v>
                </c:pt>
                <c:pt idx="2">
                  <c:v>4.59</c:v>
                </c:pt>
                <c:pt idx="3">
                  <c:v>4.49</c:v>
                </c:pt>
                <c:pt idx="4">
                  <c:v>4.49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13-4952-A431-D84B632221A4}"/>
            </c:ext>
          </c:extLst>
        </c:ser>
        <c:ser>
          <c:idx val="2"/>
          <c:order val="2"/>
          <c:tx>
            <c:strRef>
              <c:f>'[1]GRÁFICO 2'!$D$55</c:f>
              <c:strCache>
                <c:ptCount val="1"/>
                <c:pt idx="0">
                  <c:v>GASOLINA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2'!$A$56:$A$60</c:f>
              <c:numCache>
                <c:formatCode>General</c:formatCode>
                <c:ptCount val="5"/>
                <c:pt idx="0">
                  <c:v>46028</c:v>
                </c:pt>
                <c:pt idx="1">
                  <c:v>46034</c:v>
                </c:pt>
                <c:pt idx="2">
                  <c:v>46042</c:v>
                </c:pt>
                <c:pt idx="3">
                  <c:v>46049</c:v>
                </c:pt>
                <c:pt idx="4">
                  <c:v>46063</c:v>
                </c:pt>
              </c:numCache>
            </c:numRef>
          </c:cat>
          <c:val>
            <c:numRef>
              <c:f>'[1]GRÁFICO 2'!$D$56:$D$60</c:f>
              <c:numCache>
                <c:formatCode>General</c:formatCode>
                <c:ptCount val="5"/>
                <c:pt idx="0">
                  <c:v>6.05</c:v>
                </c:pt>
                <c:pt idx="1">
                  <c:v>5.99</c:v>
                </c:pt>
                <c:pt idx="2">
                  <c:v>5.99</c:v>
                </c:pt>
                <c:pt idx="3">
                  <c:v>5.99</c:v>
                </c:pt>
                <c:pt idx="4">
                  <c:v>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613-4952-A431-D84B632221A4}"/>
            </c:ext>
          </c:extLst>
        </c:ser>
        <c:ser>
          <c:idx val="3"/>
          <c:order val="3"/>
          <c:tx>
            <c:strRef>
              <c:f>'[1]GRÁFICO 2'!$E$55</c:f>
              <c:strCache>
                <c:ptCount val="1"/>
                <c:pt idx="0">
                  <c:v>GASOLINA ADITIVADA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2'!$A$56:$A$60</c:f>
              <c:numCache>
                <c:formatCode>General</c:formatCode>
                <c:ptCount val="5"/>
                <c:pt idx="0">
                  <c:v>46028</c:v>
                </c:pt>
                <c:pt idx="1">
                  <c:v>46034</c:v>
                </c:pt>
                <c:pt idx="2">
                  <c:v>46042</c:v>
                </c:pt>
                <c:pt idx="3">
                  <c:v>46049</c:v>
                </c:pt>
                <c:pt idx="4">
                  <c:v>46063</c:v>
                </c:pt>
              </c:numCache>
            </c:numRef>
          </c:cat>
          <c:val>
            <c:numRef>
              <c:f>'[1]GRÁFICO 2'!$E$56:$E$60</c:f>
              <c:numCache>
                <c:formatCode>General</c:formatCode>
                <c:ptCount val="5"/>
                <c:pt idx="0">
                  <c:v>6.05</c:v>
                </c:pt>
                <c:pt idx="1">
                  <c:v>5.99</c:v>
                </c:pt>
                <c:pt idx="2">
                  <c:v>5.99</c:v>
                </c:pt>
                <c:pt idx="3">
                  <c:v>5.99</c:v>
                </c:pt>
                <c:pt idx="4">
                  <c:v>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613-4952-A431-D84B63222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Preço (R$)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POSTO ATLANTICO LTDA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'[1]GRÁFICO 2'!$B$80</c:f>
              <c:strCache>
                <c:ptCount val="1"/>
                <c:pt idx="0">
                  <c:v>DIESEL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2'!$A$81:$A$85</c:f>
              <c:numCache>
                <c:formatCode>General</c:formatCode>
                <c:ptCount val="5"/>
                <c:pt idx="0">
                  <c:v>46036</c:v>
                </c:pt>
                <c:pt idx="1">
                  <c:v>46042</c:v>
                </c:pt>
                <c:pt idx="2">
                  <c:v>46049</c:v>
                </c:pt>
                <c:pt idx="3">
                  <c:v>46064</c:v>
                </c:pt>
                <c:pt idx="4">
                  <c:v>46076</c:v>
                </c:pt>
              </c:numCache>
            </c:numRef>
          </c:cat>
          <c:val>
            <c:numRef>
              <c:f>'[1]GRÁFICO 2'!$B$81:$B$85</c:f>
              <c:numCache>
                <c:formatCode>General</c:formatCode>
                <c:ptCount val="5"/>
                <c:pt idx="0">
                  <c:v>6.39</c:v>
                </c:pt>
                <c:pt idx="1">
                  <c:v>6.39</c:v>
                </c:pt>
                <c:pt idx="2">
                  <c:v>6.39</c:v>
                </c:pt>
                <c:pt idx="3">
                  <c:v>6.39</c:v>
                </c:pt>
                <c:pt idx="4">
                  <c:v>6.39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A0-43C8-94F6-07C5250214CD}"/>
            </c:ext>
          </c:extLst>
        </c:ser>
        <c:ser>
          <c:idx val="1"/>
          <c:order val="1"/>
          <c:tx>
            <c:strRef>
              <c:f>'[1]GRÁFICO 2'!$C$80</c:f>
              <c:strCache>
                <c:ptCount val="1"/>
                <c:pt idx="0">
                  <c:v>ETANOL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2'!$A$81:$A$85</c:f>
              <c:numCache>
                <c:formatCode>General</c:formatCode>
                <c:ptCount val="5"/>
                <c:pt idx="0">
                  <c:v>46036</c:v>
                </c:pt>
                <c:pt idx="1">
                  <c:v>46042</c:v>
                </c:pt>
                <c:pt idx="2">
                  <c:v>46049</c:v>
                </c:pt>
                <c:pt idx="3">
                  <c:v>46064</c:v>
                </c:pt>
                <c:pt idx="4">
                  <c:v>46076</c:v>
                </c:pt>
              </c:numCache>
            </c:numRef>
          </c:cat>
          <c:val>
            <c:numRef>
              <c:f>'[1]GRÁFICO 2'!$C$81:$C$85</c:f>
              <c:numCache>
                <c:formatCode>General</c:formatCode>
                <c:ptCount val="5"/>
                <c:pt idx="0">
                  <c:v>4.99</c:v>
                </c:pt>
                <c:pt idx="1">
                  <c:v>4.99</c:v>
                </c:pt>
                <c:pt idx="2">
                  <c:v>4.99</c:v>
                </c:pt>
                <c:pt idx="3">
                  <c:v>4.99</c:v>
                </c:pt>
                <c:pt idx="4">
                  <c:v>4.99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A0-43C8-94F6-07C5250214CD}"/>
            </c:ext>
          </c:extLst>
        </c:ser>
        <c:ser>
          <c:idx val="2"/>
          <c:order val="2"/>
          <c:tx>
            <c:strRef>
              <c:f>'[1]GRÁFICO 2'!$D$80</c:f>
              <c:strCache>
                <c:ptCount val="1"/>
                <c:pt idx="0">
                  <c:v>GASOLINA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2'!$A$81:$A$85</c:f>
              <c:numCache>
                <c:formatCode>General</c:formatCode>
                <c:ptCount val="5"/>
                <c:pt idx="0">
                  <c:v>46036</c:v>
                </c:pt>
                <c:pt idx="1">
                  <c:v>46042</c:v>
                </c:pt>
                <c:pt idx="2">
                  <c:v>46049</c:v>
                </c:pt>
                <c:pt idx="3">
                  <c:v>46064</c:v>
                </c:pt>
                <c:pt idx="4">
                  <c:v>46076</c:v>
                </c:pt>
              </c:numCache>
            </c:numRef>
          </c:cat>
          <c:val>
            <c:numRef>
              <c:f>'[1]GRÁFICO 2'!$D$81:$D$85</c:f>
              <c:numCache>
                <c:formatCode>General</c:formatCode>
                <c:ptCount val="5"/>
                <c:pt idx="0">
                  <c:v>6.29</c:v>
                </c:pt>
                <c:pt idx="1">
                  <c:v>6.29</c:v>
                </c:pt>
                <c:pt idx="2">
                  <c:v>5.95</c:v>
                </c:pt>
                <c:pt idx="3">
                  <c:v>6.09</c:v>
                </c:pt>
                <c:pt idx="4">
                  <c:v>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5A0-43C8-94F6-07C5250214CD}"/>
            </c:ext>
          </c:extLst>
        </c:ser>
        <c:ser>
          <c:idx val="3"/>
          <c:order val="3"/>
          <c:tx>
            <c:strRef>
              <c:f>'[1]GRÁFICO 2'!$E$80</c:f>
              <c:strCache>
                <c:ptCount val="1"/>
                <c:pt idx="0">
                  <c:v>GASOLINA ADITIVADA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2'!$A$81:$A$85</c:f>
              <c:numCache>
                <c:formatCode>General</c:formatCode>
                <c:ptCount val="5"/>
                <c:pt idx="0">
                  <c:v>46036</c:v>
                </c:pt>
                <c:pt idx="1">
                  <c:v>46042</c:v>
                </c:pt>
                <c:pt idx="2">
                  <c:v>46049</c:v>
                </c:pt>
                <c:pt idx="3">
                  <c:v>46064</c:v>
                </c:pt>
                <c:pt idx="4">
                  <c:v>46076</c:v>
                </c:pt>
              </c:numCache>
            </c:numRef>
          </c:cat>
          <c:val>
            <c:numRef>
              <c:f>'[1]GRÁFICO 2'!$E$81:$E$85</c:f>
              <c:numCache>
                <c:formatCode>General</c:formatCode>
                <c:ptCount val="5"/>
                <c:pt idx="0">
                  <c:v>6.64</c:v>
                </c:pt>
                <c:pt idx="1">
                  <c:v>6.64</c:v>
                </c:pt>
                <c:pt idx="2">
                  <c:v>6.45</c:v>
                </c:pt>
                <c:pt idx="3">
                  <c:v>6.44</c:v>
                </c:pt>
                <c:pt idx="4">
                  <c:v>6.34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5A0-43C8-94F6-07C525021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Preço (R$)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POSTO PARADA VITORIA LTDA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'[1]GRÁFICO 2'!$B$105</c:f>
              <c:strCache>
                <c:ptCount val="1"/>
                <c:pt idx="0">
                  <c:v>DIESEL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2'!$A$106:$A$110</c:f>
              <c:numCache>
                <c:formatCode>General</c:formatCode>
                <c:ptCount val="5"/>
                <c:pt idx="0">
                  <c:v>46034</c:v>
                </c:pt>
                <c:pt idx="1">
                  <c:v>46042</c:v>
                </c:pt>
                <c:pt idx="2">
                  <c:v>46047</c:v>
                </c:pt>
                <c:pt idx="3">
                  <c:v>46049</c:v>
                </c:pt>
                <c:pt idx="4">
                  <c:v>46055</c:v>
                </c:pt>
              </c:numCache>
            </c:numRef>
          </c:cat>
          <c:val>
            <c:numRef>
              <c:f>'[1]GRÁFICO 2'!$B$106:$B$110</c:f>
              <c:numCache>
                <c:formatCode>General</c:formatCode>
                <c:ptCount val="5"/>
                <c:pt idx="0">
                  <c:v>5.99</c:v>
                </c:pt>
                <c:pt idx="1">
                  <c:v>5.99</c:v>
                </c:pt>
                <c:pt idx="2">
                  <c:v>5.99</c:v>
                </c:pt>
                <c:pt idx="3">
                  <c:v>5.99</c:v>
                </c:pt>
                <c:pt idx="4">
                  <c:v>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EC-48EB-B354-8C30E7851D50}"/>
            </c:ext>
          </c:extLst>
        </c:ser>
        <c:ser>
          <c:idx val="1"/>
          <c:order val="1"/>
          <c:tx>
            <c:strRef>
              <c:f>'[1]GRÁFICO 2'!$C$105</c:f>
              <c:strCache>
                <c:ptCount val="1"/>
                <c:pt idx="0">
                  <c:v>ETANOL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2'!$A$106:$A$110</c:f>
              <c:numCache>
                <c:formatCode>General</c:formatCode>
                <c:ptCount val="5"/>
                <c:pt idx="0">
                  <c:v>46034</c:v>
                </c:pt>
                <c:pt idx="1">
                  <c:v>46042</c:v>
                </c:pt>
                <c:pt idx="2">
                  <c:v>46047</c:v>
                </c:pt>
                <c:pt idx="3">
                  <c:v>46049</c:v>
                </c:pt>
                <c:pt idx="4">
                  <c:v>46055</c:v>
                </c:pt>
              </c:numCache>
            </c:numRef>
          </c:cat>
          <c:val>
            <c:numRef>
              <c:f>'[1]GRÁFICO 2'!$C$106:$C$110</c:f>
              <c:numCache>
                <c:formatCode>General</c:formatCode>
                <c:ptCount val="5"/>
                <c:pt idx="0">
                  <c:v>4.45</c:v>
                </c:pt>
                <c:pt idx="1">
                  <c:v>4.6500000000000004</c:v>
                </c:pt>
                <c:pt idx="2">
                  <c:v>4.6500000000000004</c:v>
                </c:pt>
                <c:pt idx="3">
                  <c:v>4.6500000000000004</c:v>
                </c:pt>
                <c:pt idx="4">
                  <c:v>4.6500000000000004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EC-48EB-B354-8C30E7851D50}"/>
            </c:ext>
          </c:extLst>
        </c:ser>
        <c:ser>
          <c:idx val="2"/>
          <c:order val="2"/>
          <c:tx>
            <c:strRef>
              <c:f>'[1]GRÁFICO 2'!$D$105</c:f>
              <c:strCache>
                <c:ptCount val="1"/>
                <c:pt idx="0">
                  <c:v>GASOLINA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2'!$A$106:$A$110</c:f>
              <c:numCache>
                <c:formatCode>General</c:formatCode>
                <c:ptCount val="5"/>
                <c:pt idx="0">
                  <c:v>46034</c:v>
                </c:pt>
                <c:pt idx="1">
                  <c:v>46042</c:v>
                </c:pt>
                <c:pt idx="2">
                  <c:v>46047</c:v>
                </c:pt>
                <c:pt idx="3">
                  <c:v>46049</c:v>
                </c:pt>
                <c:pt idx="4">
                  <c:v>46055</c:v>
                </c:pt>
              </c:numCache>
            </c:numRef>
          </c:cat>
          <c:val>
            <c:numRef>
              <c:f>'[1]GRÁFICO 2'!$D$106:$D$110</c:f>
              <c:numCache>
                <c:formatCode>General</c:formatCode>
                <c:ptCount val="5"/>
                <c:pt idx="0">
                  <c:v>6.05</c:v>
                </c:pt>
                <c:pt idx="1">
                  <c:v>6.05</c:v>
                </c:pt>
                <c:pt idx="2">
                  <c:v>5.99</c:v>
                </c:pt>
                <c:pt idx="3">
                  <c:v>5.99</c:v>
                </c:pt>
                <c:pt idx="4">
                  <c:v>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AEC-48EB-B354-8C30E7851D50}"/>
            </c:ext>
          </c:extLst>
        </c:ser>
        <c:ser>
          <c:idx val="3"/>
          <c:order val="3"/>
          <c:tx>
            <c:strRef>
              <c:f>'[1]GRÁFICO 2'!$E$105</c:f>
              <c:strCache>
                <c:ptCount val="1"/>
                <c:pt idx="0">
                  <c:v>GASOLINA ADITIVADA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'[1]GRÁFICO 2'!$A$106:$A$110</c:f>
              <c:numCache>
                <c:formatCode>General</c:formatCode>
                <c:ptCount val="5"/>
                <c:pt idx="0">
                  <c:v>46034</c:v>
                </c:pt>
                <c:pt idx="1">
                  <c:v>46042</c:v>
                </c:pt>
                <c:pt idx="2">
                  <c:v>46047</c:v>
                </c:pt>
                <c:pt idx="3">
                  <c:v>46049</c:v>
                </c:pt>
                <c:pt idx="4">
                  <c:v>46055</c:v>
                </c:pt>
              </c:numCache>
            </c:numRef>
          </c:cat>
          <c:val>
            <c:numRef>
              <c:f>'[1]GRÁFICO 2'!$E$106:$E$110</c:f>
              <c:numCache>
                <c:formatCode>General</c:formatCode>
                <c:ptCount val="5"/>
                <c:pt idx="0">
                  <c:v>6.25</c:v>
                </c:pt>
                <c:pt idx="1">
                  <c:v>6.25</c:v>
                </c:pt>
                <c:pt idx="2">
                  <c:v>6.25</c:v>
                </c:pt>
                <c:pt idx="3">
                  <c:v>6.25</c:v>
                </c:pt>
                <c:pt idx="4">
                  <c:v>6.25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AEC-48EB-B354-8C30E7851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Preço (R$)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257174</xdr:colOff>
      <xdr:row>14</xdr:row>
      <xdr:rowOff>133349</xdr:rowOff>
    </xdr:from>
    <xdr:ext cx="9439275" cy="3154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6FFE1-B682-40F1-9956-FACEB91E3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5400000" cy="2520000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F16402C5-46F4-4ED0-99BF-97137C8A8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29</xdr:row>
      <xdr:rowOff>0</xdr:rowOff>
    </xdr:from>
    <xdr:ext cx="5400000" cy="2520000"/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99CB5A6F-165A-4306-8CAA-E8B653213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54</xdr:row>
      <xdr:rowOff>0</xdr:rowOff>
    </xdr:from>
    <xdr:ext cx="5400000" cy="2520000"/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2D3CBF6D-DD81-429F-8EB9-29FD90077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79</xdr:row>
      <xdr:rowOff>0</xdr:rowOff>
    </xdr:from>
    <xdr:ext cx="5400000" cy="2520000"/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5812C8E1-610B-49B4-B1E9-6AA85F459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104</xdr:row>
      <xdr:rowOff>0</xdr:rowOff>
    </xdr:from>
    <xdr:ext cx="5400000" cy="2520000"/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2A6BCDAA-2887-44FA-98DD-4B4C7DE57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sponticelli\Downloads\AOP2_Projeto_Completo.xlsx" TargetMode="External"/><Relationship Id="rId1" Type="http://schemas.openxmlformats.org/officeDocument/2006/relationships/externalLinkPath" Target="AOP2_Projeto_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CONSULTA 1"/>
      <sheetName val="CONSULTA 2"/>
      <sheetName val="CONSULTA 3"/>
      <sheetName val="CONSULTA 4"/>
      <sheetName val="GRÁFICO 1"/>
      <sheetName val="GRÁFICO 2"/>
      <sheetName val="DADOS"/>
      <sheetName val="LISTAS"/>
      <sheetName val="CONSULTA 4 (2)"/>
    </sheetNames>
    <sheetDataSet>
      <sheetData sheetId="0"/>
      <sheetData sheetId="1"/>
      <sheetData sheetId="2"/>
      <sheetData sheetId="3"/>
      <sheetData sheetId="4"/>
      <sheetData sheetId="5">
        <row r="5">
          <cell r="B5">
            <v>5.49</v>
          </cell>
          <cell r="C5">
            <v>4.6100000000000003</v>
          </cell>
          <cell r="D5">
            <v>6.16</v>
          </cell>
          <cell r="E5">
            <v>6.28</v>
          </cell>
        </row>
        <row r="6">
          <cell r="A6">
            <v>46036</v>
          </cell>
          <cell r="B6">
            <v>6.39</v>
          </cell>
          <cell r="C6">
            <v>4.99</v>
          </cell>
          <cell r="D6">
            <v>6.29</v>
          </cell>
          <cell r="E6">
            <v>6.64</v>
          </cell>
        </row>
        <row r="7">
          <cell r="A7">
            <v>46037</v>
          </cell>
          <cell r="B7">
            <v>4.09</v>
          </cell>
          <cell r="C7">
            <v>4.59</v>
          </cell>
          <cell r="D7">
            <v>6.29</v>
          </cell>
          <cell r="E7">
            <v>6.59</v>
          </cell>
        </row>
        <row r="8">
          <cell r="A8">
            <v>46042</v>
          </cell>
          <cell r="B8">
            <v>5.67</v>
          </cell>
          <cell r="C8">
            <v>4.74</v>
          </cell>
          <cell r="D8">
            <v>6.18</v>
          </cell>
          <cell r="E8">
            <v>6.35</v>
          </cell>
        </row>
        <row r="9">
          <cell r="A9">
            <v>46047</v>
          </cell>
          <cell r="B9">
            <v>5.99</v>
          </cell>
          <cell r="C9">
            <v>4.6500000000000004</v>
          </cell>
          <cell r="D9">
            <v>5.99</v>
          </cell>
          <cell r="E9">
            <v>6.25</v>
          </cell>
        </row>
        <row r="10">
          <cell r="A10">
            <v>46049</v>
          </cell>
          <cell r="B10">
            <v>5.67</v>
          </cell>
          <cell r="C10">
            <v>4.76</v>
          </cell>
          <cell r="D10">
            <v>6.02</v>
          </cell>
          <cell r="E10">
            <v>6.25</v>
          </cell>
        </row>
        <row r="11">
          <cell r="A11">
            <v>46055</v>
          </cell>
          <cell r="B11">
            <v>5.99</v>
          </cell>
          <cell r="C11">
            <v>4.7699999999999996</v>
          </cell>
          <cell r="D11">
            <v>6.04</v>
          </cell>
          <cell r="E11">
            <v>6.17</v>
          </cell>
        </row>
        <row r="12">
          <cell r="A12">
            <v>46063</v>
          </cell>
          <cell r="B12">
            <v>4.99</v>
          </cell>
          <cell r="C12">
            <v>4.6399999999999997</v>
          </cell>
          <cell r="D12">
            <v>5.99</v>
          </cell>
          <cell r="E12">
            <v>6.19</v>
          </cell>
        </row>
        <row r="13">
          <cell r="A13">
            <v>46064</v>
          </cell>
          <cell r="B13">
            <v>6.39</v>
          </cell>
          <cell r="C13">
            <v>4.99</v>
          </cell>
          <cell r="D13">
            <v>6.09</v>
          </cell>
          <cell r="E13">
            <v>6.44</v>
          </cell>
        </row>
        <row r="14">
          <cell r="A14">
            <v>46076</v>
          </cell>
          <cell r="B14">
            <v>6.39</v>
          </cell>
          <cell r="C14">
            <v>4.99</v>
          </cell>
          <cell r="D14">
            <v>5.99</v>
          </cell>
          <cell r="E14">
            <v>6.34</v>
          </cell>
        </row>
      </sheetData>
      <sheetData sheetId="6">
        <row r="5">
          <cell r="B5" t="str">
            <v>DIESEL</v>
          </cell>
          <cell r="C5" t="str">
            <v>ETANOL</v>
          </cell>
          <cell r="D5" t="str">
            <v>GASOLINA</v>
          </cell>
          <cell r="E5" t="str">
            <v>GASOLINA ADITIVADA</v>
          </cell>
        </row>
        <row r="6">
          <cell r="A6">
            <v>46028</v>
          </cell>
          <cell r="B6">
            <v>5.99</v>
          </cell>
          <cell r="C6">
            <v>4.49</v>
          </cell>
          <cell r="D6">
            <v>6.29</v>
          </cell>
          <cell r="E6">
            <v>6.29</v>
          </cell>
        </row>
        <row r="7">
          <cell r="A7">
            <v>46034</v>
          </cell>
          <cell r="B7">
            <v>5.99</v>
          </cell>
          <cell r="C7">
            <v>4.8899999999999997</v>
          </cell>
          <cell r="D7">
            <v>6.29</v>
          </cell>
          <cell r="E7">
            <v>6.29</v>
          </cell>
        </row>
        <row r="8">
          <cell r="A8">
            <v>46042</v>
          </cell>
          <cell r="B8">
            <v>5.99</v>
          </cell>
          <cell r="C8">
            <v>4.8899999999999997</v>
          </cell>
          <cell r="D8">
            <v>6.29</v>
          </cell>
          <cell r="E8">
            <v>6.29</v>
          </cell>
        </row>
        <row r="9">
          <cell r="A9">
            <v>46049</v>
          </cell>
          <cell r="B9">
            <v>5.99</v>
          </cell>
          <cell r="C9">
            <v>4.8899999999999997</v>
          </cell>
          <cell r="D9">
            <v>6.09</v>
          </cell>
          <cell r="E9">
            <v>6.09</v>
          </cell>
        </row>
        <row r="10">
          <cell r="A10">
            <v>46055</v>
          </cell>
          <cell r="B10">
            <v>5.99</v>
          </cell>
          <cell r="C10">
            <v>4.8899999999999997</v>
          </cell>
          <cell r="D10">
            <v>6.09</v>
          </cell>
          <cell r="E10">
            <v>6.09</v>
          </cell>
        </row>
        <row r="30">
          <cell r="B30" t="str">
            <v>DIESEL</v>
          </cell>
          <cell r="C30" t="str">
            <v>ETANOL</v>
          </cell>
          <cell r="D30" t="str">
            <v>GASOLINA</v>
          </cell>
          <cell r="E30" t="str">
            <v>GASOLINA ADITIVADA</v>
          </cell>
        </row>
        <row r="31">
          <cell r="A31">
            <v>46034</v>
          </cell>
          <cell r="B31">
            <v>4.09</v>
          </cell>
          <cell r="C31">
            <v>4.59</v>
          </cell>
          <cell r="D31">
            <v>6.29</v>
          </cell>
          <cell r="E31">
            <v>6.59</v>
          </cell>
        </row>
        <row r="32">
          <cell r="A32">
            <v>46037</v>
          </cell>
          <cell r="B32">
            <v>4.09</v>
          </cell>
          <cell r="C32">
            <v>4.59</v>
          </cell>
          <cell r="D32">
            <v>6.29</v>
          </cell>
          <cell r="E32">
            <v>6.59</v>
          </cell>
        </row>
        <row r="33">
          <cell r="A33">
            <v>46042</v>
          </cell>
          <cell r="B33">
            <v>4.09</v>
          </cell>
          <cell r="C33">
            <v>4.59</v>
          </cell>
          <cell r="D33">
            <v>6.29</v>
          </cell>
          <cell r="E33">
            <v>6.59</v>
          </cell>
        </row>
        <row r="34">
          <cell r="A34">
            <v>46049</v>
          </cell>
          <cell r="B34">
            <v>4.09</v>
          </cell>
          <cell r="C34">
            <v>4.79</v>
          </cell>
          <cell r="D34">
            <v>6.09</v>
          </cell>
          <cell r="E34">
            <v>6.49</v>
          </cell>
        </row>
        <row r="35">
          <cell r="A35">
            <v>46063</v>
          </cell>
          <cell r="B35">
            <v>4.09</v>
          </cell>
          <cell r="C35">
            <v>4.79</v>
          </cell>
          <cell r="D35">
            <v>5.99</v>
          </cell>
          <cell r="E35">
            <v>6.39</v>
          </cell>
        </row>
        <row r="55">
          <cell r="B55" t="str">
            <v>DIESEL</v>
          </cell>
          <cell r="C55" t="str">
            <v>ETANOL</v>
          </cell>
          <cell r="D55" t="str">
            <v>GASOLINA</v>
          </cell>
          <cell r="E55" t="str">
            <v>GASOLINA ADITIVADA</v>
          </cell>
        </row>
        <row r="56">
          <cell r="A56">
            <v>46028</v>
          </cell>
          <cell r="B56">
            <v>5.89</v>
          </cell>
          <cell r="C56">
            <v>4.3899999999999997</v>
          </cell>
          <cell r="D56">
            <v>6.05</v>
          </cell>
          <cell r="E56">
            <v>6.05</v>
          </cell>
        </row>
        <row r="57">
          <cell r="A57">
            <v>46034</v>
          </cell>
          <cell r="B57">
            <v>5.89</v>
          </cell>
          <cell r="C57">
            <v>4.49</v>
          </cell>
          <cell r="D57">
            <v>5.99</v>
          </cell>
          <cell r="E57">
            <v>5.99</v>
          </cell>
        </row>
        <row r="58">
          <cell r="A58">
            <v>46042</v>
          </cell>
          <cell r="B58">
            <v>5.89</v>
          </cell>
          <cell r="C58">
            <v>4.59</v>
          </cell>
          <cell r="D58">
            <v>5.99</v>
          </cell>
          <cell r="E58">
            <v>5.99</v>
          </cell>
        </row>
        <row r="59">
          <cell r="A59">
            <v>46049</v>
          </cell>
          <cell r="B59">
            <v>5.89</v>
          </cell>
          <cell r="C59">
            <v>4.49</v>
          </cell>
          <cell r="D59">
            <v>5.99</v>
          </cell>
          <cell r="E59">
            <v>5.99</v>
          </cell>
        </row>
        <row r="60">
          <cell r="A60">
            <v>46063</v>
          </cell>
          <cell r="B60">
            <v>5.89</v>
          </cell>
          <cell r="C60">
            <v>4.49</v>
          </cell>
          <cell r="D60">
            <v>5.99</v>
          </cell>
          <cell r="E60">
            <v>5.99</v>
          </cell>
        </row>
        <row r="80">
          <cell r="B80" t="str">
            <v>DIESEL</v>
          </cell>
          <cell r="C80" t="str">
            <v>ETANOL</v>
          </cell>
          <cell r="D80" t="str">
            <v>GASOLINA</v>
          </cell>
          <cell r="E80" t="str">
            <v>GASOLINA ADITIVADA</v>
          </cell>
        </row>
        <row r="81">
          <cell r="A81">
            <v>46036</v>
          </cell>
          <cell r="B81">
            <v>6.39</v>
          </cell>
          <cell r="C81">
            <v>4.99</v>
          </cell>
          <cell r="D81">
            <v>6.29</v>
          </cell>
          <cell r="E81">
            <v>6.64</v>
          </cell>
        </row>
        <row r="82">
          <cell r="A82">
            <v>46042</v>
          </cell>
          <cell r="B82">
            <v>6.39</v>
          </cell>
          <cell r="C82">
            <v>4.99</v>
          </cell>
          <cell r="D82">
            <v>6.29</v>
          </cell>
          <cell r="E82">
            <v>6.64</v>
          </cell>
        </row>
        <row r="83">
          <cell r="A83">
            <v>46049</v>
          </cell>
          <cell r="B83">
            <v>6.39</v>
          </cell>
          <cell r="C83">
            <v>4.99</v>
          </cell>
          <cell r="D83">
            <v>5.95</v>
          </cell>
          <cell r="E83">
            <v>6.45</v>
          </cell>
        </row>
        <row r="84">
          <cell r="A84">
            <v>46064</v>
          </cell>
          <cell r="B84">
            <v>6.39</v>
          </cell>
          <cell r="C84">
            <v>4.99</v>
          </cell>
          <cell r="D84">
            <v>6.09</v>
          </cell>
          <cell r="E84">
            <v>6.44</v>
          </cell>
        </row>
        <row r="85">
          <cell r="A85">
            <v>46076</v>
          </cell>
          <cell r="B85">
            <v>6.39</v>
          </cell>
          <cell r="C85">
            <v>4.99</v>
          </cell>
          <cell r="D85">
            <v>5.99</v>
          </cell>
          <cell r="E85">
            <v>6.34</v>
          </cell>
        </row>
        <row r="105">
          <cell r="B105" t="str">
            <v>DIESEL</v>
          </cell>
          <cell r="C105" t="str">
            <v>ETANOL</v>
          </cell>
          <cell r="D105" t="str">
            <v>GASOLINA</v>
          </cell>
          <cell r="E105" t="str">
            <v>GASOLINA ADITIVADA</v>
          </cell>
        </row>
        <row r="106">
          <cell r="A106">
            <v>46034</v>
          </cell>
          <cell r="B106">
            <v>5.99</v>
          </cell>
          <cell r="C106">
            <v>4.45</v>
          </cell>
          <cell r="D106">
            <v>6.05</v>
          </cell>
          <cell r="E106">
            <v>6.25</v>
          </cell>
        </row>
        <row r="107">
          <cell r="A107">
            <v>46042</v>
          </cell>
          <cell r="B107">
            <v>5.99</v>
          </cell>
          <cell r="C107">
            <v>4.6500000000000004</v>
          </cell>
          <cell r="D107">
            <v>6.05</v>
          </cell>
          <cell r="E107">
            <v>6.25</v>
          </cell>
        </row>
        <row r="108">
          <cell r="A108">
            <v>46047</v>
          </cell>
          <cell r="B108">
            <v>5.99</v>
          </cell>
          <cell r="C108">
            <v>4.6500000000000004</v>
          </cell>
          <cell r="D108">
            <v>5.99</v>
          </cell>
          <cell r="E108">
            <v>6.25</v>
          </cell>
        </row>
        <row r="109">
          <cell r="A109">
            <v>46049</v>
          </cell>
          <cell r="B109">
            <v>5.99</v>
          </cell>
          <cell r="C109">
            <v>4.6500000000000004</v>
          </cell>
          <cell r="D109">
            <v>5.99</v>
          </cell>
          <cell r="E109">
            <v>6.25</v>
          </cell>
        </row>
        <row r="110">
          <cell r="A110">
            <v>46055</v>
          </cell>
          <cell r="B110">
            <v>5.99</v>
          </cell>
          <cell r="C110">
            <v>4.6500000000000004</v>
          </cell>
          <cell r="D110">
            <v>5.99</v>
          </cell>
          <cell r="E110">
            <v>6.25</v>
          </cell>
        </row>
      </sheetData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00F8-8F39-47F9-B1D3-89FCE2F75E1B}">
  <dimension ref="A1:G14"/>
  <sheetViews>
    <sheetView workbookViewId="0">
      <selection activeCell="D27" sqref="D27"/>
    </sheetView>
  </sheetViews>
  <sheetFormatPr defaultRowHeight="15" x14ac:dyDescent="0.25"/>
  <cols>
    <col min="1" max="1" width="51" bestFit="1" customWidth="1"/>
    <col min="2" max="2" width="16.5703125" bestFit="1" customWidth="1"/>
    <col min="3" max="3" width="45" bestFit="1" customWidth="1"/>
    <col min="5" max="5" width="7.140625" bestFit="1" customWidth="1"/>
    <col min="6" max="6" width="11.28515625" bestFit="1" customWidth="1"/>
    <col min="7" max="7" width="14.140625" bestFit="1" customWidth="1"/>
  </cols>
  <sheetData>
    <row r="1" spans="1:7" x14ac:dyDescent="0.25">
      <c r="A1" s="18" t="s">
        <v>35</v>
      </c>
      <c r="B1" s="19"/>
      <c r="C1" s="19"/>
      <c r="D1" s="19"/>
      <c r="E1" s="19"/>
      <c r="F1" s="19"/>
      <c r="G1" s="19"/>
    </row>
    <row r="2" spans="1:7" x14ac:dyDescent="0.25">
      <c r="A2" s="19"/>
      <c r="B2" s="19"/>
      <c r="C2" s="19"/>
      <c r="D2" s="19"/>
      <c r="E2" s="19"/>
      <c r="F2" s="19"/>
      <c r="G2" s="19"/>
    </row>
    <row r="4" spans="1:7" x14ac:dyDescent="0.25">
      <c r="A4" s="7"/>
    </row>
    <row r="6" spans="1:7" x14ac:dyDescent="0.25">
      <c r="A6" s="9" t="s">
        <v>36</v>
      </c>
      <c r="B6" s="9" t="s">
        <v>37</v>
      </c>
      <c r="C6" s="9" t="s">
        <v>38</v>
      </c>
      <c r="D6" s="9" t="s">
        <v>39</v>
      </c>
      <c r="E6" s="9" t="s">
        <v>40</v>
      </c>
      <c r="F6" s="9" t="s">
        <v>41</v>
      </c>
      <c r="G6" s="9" t="s">
        <v>42</v>
      </c>
    </row>
    <row r="7" spans="1:7" x14ac:dyDescent="0.25">
      <c r="A7" s="4" t="s">
        <v>16</v>
      </c>
      <c r="B7" s="4" t="s">
        <v>32</v>
      </c>
      <c r="C7" s="4" t="s">
        <v>29</v>
      </c>
      <c r="D7" s="4" t="s">
        <v>17</v>
      </c>
      <c r="E7" s="5">
        <v>6.39</v>
      </c>
      <c r="F7" s="6">
        <v>46064</v>
      </c>
      <c r="G7" s="10" t="s">
        <v>43</v>
      </c>
    </row>
    <row r="8" spans="1:7" x14ac:dyDescent="0.25">
      <c r="A8" s="4" t="s">
        <v>12</v>
      </c>
      <c r="B8" s="4" t="s">
        <v>28</v>
      </c>
      <c r="C8" s="4" t="s">
        <v>29</v>
      </c>
      <c r="D8" s="4" t="s">
        <v>17</v>
      </c>
      <c r="E8" s="5">
        <v>4.09</v>
      </c>
      <c r="F8" s="6">
        <v>46034</v>
      </c>
      <c r="G8" s="11" t="s">
        <v>44</v>
      </c>
    </row>
    <row r="9" spans="1:7" x14ac:dyDescent="0.25">
      <c r="A9" s="4" t="s">
        <v>16</v>
      </c>
      <c r="B9" s="4" t="s">
        <v>32</v>
      </c>
      <c r="C9" s="4" t="s">
        <v>29</v>
      </c>
      <c r="D9" s="4" t="s">
        <v>15</v>
      </c>
      <c r="E9" s="5">
        <v>4.99</v>
      </c>
      <c r="F9" s="6">
        <v>46064</v>
      </c>
      <c r="G9" s="10" t="s">
        <v>43</v>
      </c>
    </row>
    <row r="10" spans="1:7" x14ac:dyDescent="0.25">
      <c r="A10" s="4" t="s">
        <v>18</v>
      </c>
      <c r="B10" s="4" t="s">
        <v>33</v>
      </c>
      <c r="C10" s="4" t="s">
        <v>34</v>
      </c>
      <c r="D10" s="4" t="s">
        <v>15</v>
      </c>
      <c r="E10" s="5">
        <v>4.3899999999999997</v>
      </c>
      <c r="F10" s="6">
        <v>46028</v>
      </c>
      <c r="G10" s="11" t="s">
        <v>44</v>
      </c>
    </row>
    <row r="11" spans="1:7" x14ac:dyDescent="0.25">
      <c r="A11" s="4" t="s">
        <v>2</v>
      </c>
      <c r="B11" s="4" t="s">
        <v>26</v>
      </c>
      <c r="C11" s="4" t="s">
        <v>27</v>
      </c>
      <c r="D11" s="4" t="s">
        <v>4</v>
      </c>
      <c r="E11" s="5">
        <v>6.29</v>
      </c>
      <c r="F11" s="6">
        <v>46028</v>
      </c>
      <c r="G11" s="10" t="s">
        <v>43</v>
      </c>
    </row>
    <row r="12" spans="1:7" x14ac:dyDescent="0.25">
      <c r="A12" s="4" t="s">
        <v>16</v>
      </c>
      <c r="B12" s="4" t="s">
        <v>32</v>
      </c>
      <c r="C12" s="4" t="s">
        <v>29</v>
      </c>
      <c r="D12" s="4" t="s">
        <v>4</v>
      </c>
      <c r="E12" s="5">
        <v>5.95</v>
      </c>
      <c r="F12" s="6">
        <v>46049</v>
      </c>
      <c r="G12" s="11" t="s">
        <v>44</v>
      </c>
    </row>
    <row r="13" spans="1:7" x14ac:dyDescent="0.25">
      <c r="A13" s="4" t="s">
        <v>16</v>
      </c>
      <c r="B13" s="4" t="s">
        <v>32</v>
      </c>
      <c r="C13" s="4" t="s">
        <v>29</v>
      </c>
      <c r="D13" s="4" t="s">
        <v>13</v>
      </c>
      <c r="E13" s="5">
        <v>6.64</v>
      </c>
      <c r="F13" s="6">
        <v>46042</v>
      </c>
      <c r="G13" s="10" t="s">
        <v>43</v>
      </c>
    </row>
    <row r="14" spans="1:7" x14ac:dyDescent="0.25">
      <c r="A14" s="4" t="s">
        <v>18</v>
      </c>
      <c r="B14" s="4" t="s">
        <v>33</v>
      </c>
      <c r="C14" s="4" t="s">
        <v>34</v>
      </c>
      <c r="D14" s="4" t="s">
        <v>13</v>
      </c>
      <c r="E14" s="5">
        <v>5.99</v>
      </c>
      <c r="F14" s="6">
        <v>46034</v>
      </c>
      <c r="G14" s="11" t="s">
        <v>44</v>
      </c>
    </row>
  </sheetData>
  <mergeCells count="1">
    <mergeCell ref="A1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0905-016D-41E1-AE1D-DBC5BE487A13}">
  <dimension ref="A1:E26"/>
  <sheetViews>
    <sheetView workbookViewId="0">
      <selection activeCell="A4" sqref="A4"/>
    </sheetView>
  </sheetViews>
  <sheetFormatPr defaultRowHeight="15" x14ac:dyDescent="0.25"/>
  <cols>
    <col min="1" max="1" width="51" bestFit="1" customWidth="1"/>
    <col min="2" max="2" width="16.5703125" bestFit="1" customWidth="1"/>
    <col min="3" max="3" width="20.7109375" bestFit="1" customWidth="1"/>
    <col min="4" max="4" width="12.7109375" bestFit="1" customWidth="1"/>
    <col min="5" max="5" width="20.42578125" bestFit="1" customWidth="1"/>
  </cols>
  <sheetData>
    <row r="1" spans="1:5" x14ac:dyDescent="0.25">
      <c r="A1" s="18" t="s">
        <v>45</v>
      </c>
      <c r="B1" s="19"/>
      <c r="C1" s="19"/>
      <c r="D1" s="19"/>
      <c r="E1" s="19"/>
    </row>
    <row r="2" spans="1:5" x14ac:dyDescent="0.25">
      <c r="A2" s="19"/>
      <c r="B2" s="19"/>
      <c r="C2" s="19"/>
      <c r="D2" s="19"/>
      <c r="E2" s="19"/>
    </row>
    <row r="4" spans="1:5" x14ac:dyDescent="0.25">
      <c r="A4" s="7"/>
    </row>
    <row r="6" spans="1:5" x14ac:dyDescent="0.25">
      <c r="A6" s="9" t="s">
        <v>36</v>
      </c>
      <c r="B6" s="9" t="s">
        <v>38</v>
      </c>
      <c r="C6" s="9" t="s">
        <v>39</v>
      </c>
      <c r="D6" s="9" t="s">
        <v>46</v>
      </c>
      <c r="E6" s="9" t="s">
        <v>47</v>
      </c>
    </row>
    <row r="7" spans="1:5" x14ac:dyDescent="0.25">
      <c r="A7" s="4" t="s">
        <v>2</v>
      </c>
      <c r="B7" s="4" t="s">
        <v>26</v>
      </c>
      <c r="C7" s="4" t="s">
        <v>17</v>
      </c>
      <c r="D7" s="5">
        <v>5.99</v>
      </c>
      <c r="E7" s="4">
        <v>5</v>
      </c>
    </row>
    <row r="8" spans="1:5" x14ac:dyDescent="0.25">
      <c r="A8" s="4" t="s">
        <v>2</v>
      </c>
      <c r="B8" s="4" t="s">
        <v>26</v>
      </c>
      <c r="C8" s="4" t="s">
        <v>15</v>
      </c>
      <c r="D8" s="5">
        <v>4.8099999999999996</v>
      </c>
      <c r="E8" s="4">
        <v>5</v>
      </c>
    </row>
    <row r="9" spans="1:5" x14ac:dyDescent="0.25">
      <c r="A9" s="4" t="s">
        <v>2</v>
      </c>
      <c r="B9" s="4" t="s">
        <v>26</v>
      </c>
      <c r="C9" s="4" t="s">
        <v>4</v>
      </c>
      <c r="D9" s="5">
        <v>6.21</v>
      </c>
      <c r="E9" s="4">
        <v>5</v>
      </c>
    </row>
    <row r="10" spans="1:5" x14ac:dyDescent="0.25">
      <c r="A10" s="4" t="s">
        <v>2</v>
      </c>
      <c r="B10" s="4" t="s">
        <v>26</v>
      </c>
      <c r="C10" s="4" t="s">
        <v>13</v>
      </c>
      <c r="D10" s="5">
        <v>6.21</v>
      </c>
      <c r="E10" s="4">
        <v>5</v>
      </c>
    </row>
    <row r="11" spans="1:5" x14ac:dyDescent="0.25">
      <c r="A11" s="4" t="s">
        <v>12</v>
      </c>
      <c r="B11" s="4" t="s">
        <v>28</v>
      </c>
      <c r="C11" s="4" t="s">
        <v>17</v>
      </c>
      <c r="D11" s="5">
        <v>4.09</v>
      </c>
      <c r="E11" s="4">
        <v>5</v>
      </c>
    </row>
    <row r="12" spans="1:5" x14ac:dyDescent="0.25">
      <c r="A12" s="4" t="s">
        <v>12</v>
      </c>
      <c r="B12" s="4" t="s">
        <v>28</v>
      </c>
      <c r="C12" s="4" t="s">
        <v>15</v>
      </c>
      <c r="D12" s="5">
        <v>4.67</v>
      </c>
      <c r="E12" s="4">
        <v>5</v>
      </c>
    </row>
    <row r="13" spans="1:5" x14ac:dyDescent="0.25">
      <c r="A13" s="4" t="s">
        <v>12</v>
      </c>
      <c r="B13" s="4" t="s">
        <v>28</v>
      </c>
      <c r="C13" s="4" t="s">
        <v>4</v>
      </c>
      <c r="D13" s="5">
        <v>6.19</v>
      </c>
      <c r="E13" s="4">
        <v>5</v>
      </c>
    </row>
    <row r="14" spans="1:5" x14ac:dyDescent="0.25">
      <c r="A14" s="4" t="s">
        <v>12</v>
      </c>
      <c r="B14" s="4" t="s">
        <v>28</v>
      </c>
      <c r="C14" s="4" t="s">
        <v>13</v>
      </c>
      <c r="D14" s="5">
        <v>6.53</v>
      </c>
      <c r="E14" s="4">
        <v>5</v>
      </c>
    </row>
    <row r="15" spans="1:5" x14ac:dyDescent="0.25">
      <c r="A15" s="4" t="s">
        <v>18</v>
      </c>
      <c r="B15" s="4" t="s">
        <v>33</v>
      </c>
      <c r="C15" s="4" t="s">
        <v>17</v>
      </c>
      <c r="D15" s="5">
        <v>5.89</v>
      </c>
      <c r="E15" s="4">
        <v>5</v>
      </c>
    </row>
    <row r="16" spans="1:5" x14ac:dyDescent="0.25">
      <c r="A16" s="4" t="s">
        <v>18</v>
      </c>
      <c r="B16" s="4" t="s">
        <v>33</v>
      </c>
      <c r="C16" s="4" t="s">
        <v>15</v>
      </c>
      <c r="D16" s="5">
        <v>4.49</v>
      </c>
      <c r="E16" s="4">
        <v>5</v>
      </c>
    </row>
    <row r="17" spans="1:5" x14ac:dyDescent="0.25">
      <c r="A17" s="4" t="s">
        <v>18</v>
      </c>
      <c r="B17" s="4" t="s">
        <v>33</v>
      </c>
      <c r="C17" s="4" t="s">
        <v>4</v>
      </c>
      <c r="D17" s="5">
        <v>6</v>
      </c>
      <c r="E17" s="4">
        <v>5</v>
      </c>
    </row>
    <row r="18" spans="1:5" x14ac:dyDescent="0.25">
      <c r="A18" s="4" t="s">
        <v>18</v>
      </c>
      <c r="B18" s="4" t="s">
        <v>33</v>
      </c>
      <c r="C18" s="4" t="s">
        <v>13</v>
      </c>
      <c r="D18" s="5">
        <v>6</v>
      </c>
      <c r="E18" s="4">
        <v>5</v>
      </c>
    </row>
    <row r="19" spans="1:5" x14ac:dyDescent="0.25">
      <c r="A19" s="4" t="s">
        <v>16</v>
      </c>
      <c r="B19" s="4" t="s">
        <v>32</v>
      </c>
      <c r="C19" s="4" t="s">
        <v>17</v>
      </c>
      <c r="D19" s="5">
        <v>6.39</v>
      </c>
      <c r="E19" s="4">
        <v>5</v>
      </c>
    </row>
    <row r="20" spans="1:5" x14ac:dyDescent="0.25">
      <c r="A20" s="4" t="s">
        <v>16</v>
      </c>
      <c r="B20" s="4" t="s">
        <v>32</v>
      </c>
      <c r="C20" s="4" t="s">
        <v>15</v>
      </c>
      <c r="D20" s="5">
        <v>4.99</v>
      </c>
      <c r="E20" s="4">
        <v>5</v>
      </c>
    </row>
    <row r="21" spans="1:5" x14ac:dyDescent="0.25">
      <c r="A21" s="4" t="s">
        <v>16</v>
      </c>
      <c r="B21" s="4" t="s">
        <v>32</v>
      </c>
      <c r="C21" s="4" t="s">
        <v>4</v>
      </c>
      <c r="D21" s="5">
        <v>6.12</v>
      </c>
      <c r="E21" s="4">
        <v>5</v>
      </c>
    </row>
    <row r="22" spans="1:5" x14ac:dyDescent="0.25">
      <c r="A22" s="4" t="s">
        <v>16</v>
      </c>
      <c r="B22" s="4" t="s">
        <v>32</v>
      </c>
      <c r="C22" s="4" t="s">
        <v>13</v>
      </c>
      <c r="D22" s="5">
        <v>6.5</v>
      </c>
      <c r="E22" s="4">
        <v>5</v>
      </c>
    </row>
    <row r="23" spans="1:5" x14ac:dyDescent="0.25">
      <c r="A23" s="4" t="s">
        <v>14</v>
      </c>
      <c r="B23" s="4" t="s">
        <v>30</v>
      </c>
      <c r="C23" s="4" t="s">
        <v>17</v>
      </c>
      <c r="D23" s="5">
        <v>5.99</v>
      </c>
      <c r="E23" s="4">
        <v>5</v>
      </c>
    </row>
    <row r="24" spans="1:5" x14ac:dyDescent="0.25">
      <c r="A24" s="4" t="s">
        <v>14</v>
      </c>
      <c r="B24" s="4" t="s">
        <v>30</v>
      </c>
      <c r="C24" s="4" t="s">
        <v>15</v>
      </c>
      <c r="D24" s="5">
        <v>4.6100000000000003</v>
      </c>
      <c r="E24" s="4">
        <v>5</v>
      </c>
    </row>
    <row r="25" spans="1:5" x14ac:dyDescent="0.25">
      <c r="A25" s="4" t="s">
        <v>14</v>
      </c>
      <c r="B25" s="4" t="s">
        <v>30</v>
      </c>
      <c r="C25" s="4" t="s">
        <v>4</v>
      </c>
      <c r="D25" s="5">
        <v>6.01</v>
      </c>
      <c r="E25" s="4">
        <v>5</v>
      </c>
    </row>
    <row r="26" spans="1:5" x14ac:dyDescent="0.25">
      <c r="A26" s="4" t="s">
        <v>14</v>
      </c>
      <c r="B26" s="4" t="s">
        <v>30</v>
      </c>
      <c r="C26" s="4" t="s">
        <v>13</v>
      </c>
      <c r="D26" s="5">
        <v>6.25</v>
      </c>
      <c r="E26" s="4">
        <v>5</v>
      </c>
    </row>
  </sheetData>
  <mergeCells count="1">
    <mergeCell ref="A1: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FDA2-8110-4C73-91FE-AAE7596664D2}">
  <dimension ref="A1:E26"/>
  <sheetViews>
    <sheetView workbookViewId="0">
      <selection activeCell="A4" sqref="A4"/>
    </sheetView>
  </sheetViews>
  <sheetFormatPr defaultRowHeight="15" x14ac:dyDescent="0.25"/>
  <cols>
    <col min="1" max="1" width="51" bestFit="1" customWidth="1"/>
    <col min="2" max="2" width="16.5703125" bestFit="1" customWidth="1"/>
    <col min="3" max="3" width="20.7109375" bestFit="1" customWidth="1"/>
    <col min="4" max="4" width="7.140625" bestFit="1" customWidth="1"/>
    <col min="5" max="5" width="11.28515625" bestFit="1" customWidth="1"/>
  </cols>
  <sheetData>
    <row r="1" spans="1:5" x14ac:dyDescent="0.25">
      <c r="A1" s="18" t="s">
        <v>48</v>
      </c>
      <c r="B1" s="19"/>
      <c r="C1" s="19"/>
      <c r="D1" s="19"/>
      <c r="E1" s="19"/>
    </row>
    <row r="2" spans="1:5" x14ac:dyDescent="0.25">
      <c r="A2" s="19"/>
      <c r="B2" s="19"/>
      <c r="C2" s="19"/>
      <c r="D2" s="19"/>
      <c r="E2" s="19"/>
    </row>
    <row r="4" spans="1:5" x14ac:dyDescent="0.25">
      <c r="A4" s="7"/>
    </row>
    <row r="6" spans="1:5" x14ac:dyDescent="0.25">
      <c r="A6" s="9" t="s">
        <v>36</v>
      </c>
      <c r="B6" s="9" t="s">
        <v>38</v>
      </c>
      <c r="C6" s="9" t="s">
        <v>39</v>
      </c>
      <c r="D6" s="9" t="s">
        <v>40</v>
      </c>
      <c r="E6" s="9" t="s">
        <v>41</v>
      </c>
    </row>
    <row r="7" spans="1:5" x14ac:dyDescent="0.25">
      <c r="A7" s="4" t="s">
        <v>2</v>
      </c>
      <c r="B7" s="4" t="s">
        <v>26</v>
      </c>
      <c r="C7" s="4" t="s">
        <v>17</v>
      </c>
      <c r="D7" s="5">
        <v>5.99</v>
      </c>
      <c r="E7" s="6">
        <v>46055</v>
      </c>
    </row>
    <row r="8" spans="1:5" x14ac:dyDescent="0.25">
      <c r="A8" s="4" t="s">
        <v>2</v>
      </c>
      <c r="B8" s="4" t="s">
        <v>26</v>
      </c>
      <c r="C8" s="4" t="s">
        <v>15</v>
      </c>
      <c r="D8" s="5">
        <v>4.8899999999999997</v>
      </c>
      <c r="E8" s="6">
        <v>46055</v>
      </c>
    </row>
    <row r="9" spans="1:5" x14ac:dyDescent="0.25">
      <c r="A9" s="4" t="s">
        <v>2</v>
      </c>
      <c r="B9" s="4" t="s">
        <v>26</v>
      </c>
      <c r="C9" s="4" t="s">
        <v>4</v>
      </c>
      <c r="D9" s="5">
        <v>6.09</v>
      </c>
      <c r="E9" s="6">
        <v>46055</v>
      </c>
    </row>
    <row r="10" spans="1:5" x14ac:dyDescent="0.25">
      <c r="A10" s="4" t="s">
        <v>2</v>
      </c>
      <c r="B10" s="4" t="s">
        <v>26</v>
      </c>
      <c r="C10" s="4" t="s">
        <v>13</v>
      </c>
      <c r="D10" s="5">
        <v>6.09</v>
      </c>
      <c r="E10" s="6">
        <v>46055</v>
      </c>
    </row>
    <row r="11" spans="1:5" x14ac:dyDescent="0.25">
      <c r="A11" s="4" t="s">
        <v>12</v>
      </c>
      <c r="B11" s="4" t="s">
        <v>28</v>
      </c>
      <c r="C11" s="4" t="s">
        <v>17</v>
      </c>
      <c r="D11" s="5">
        <v>4.09</v>
      </c>
      <c r="E11" s="6">
        <v>46063</v>
      </c>
    </row>
    <row r="12" spans="1:5" x14ac:dyDescent="0.25">
      <c r="A12" s="4" t="s">
        <v>12</v>
      </c>
      <c r="B12" s="4" t="s">
        <v>28</v>
      </c>
      <c r="C12" s="4" t="s">
        <v>15</v>
      </c>
      <c r="D12" s="5">
        <v>4.79</v>
      </c>
      <c r="E12" s="6">
        <v>46063</v>
      </c>
    </row>
    <row r="13" spans="1:5" x14ac:dyDescent="0.25">
      <c r="A13" s="4" t="s">
        <v>12</v>
      </c>
      <c r="B13" s="4" t="s">
        <v>28</v>
      </c>
      <c r="C13" s="4" t="s">
        <v>4</v>
      </c>
      <c r="D13" s="5">
        <v>5.99</v>
      </c>
      <c r="E13" s="6">
        <v>46063</v>
      </c>
    </row>
    <row r="14" spans="1:5" x14ac:dyDescent="0.25">
      <c r="A14" s="4" t="s">
        <v>12</v>
      </c>
      <c r="B14" s="4" t="s">
        <v>28</v>
      </c>
      <c r="C14" s="4" t="s">
        <v>13</v>
      </c>
      <c r="D14" s="5">
        <v>6.39</v>
      </c>
      <c r="E14" s="6">
        <v>46063</v>
      </c>
    </row>
    <row r="15" spans="1:5" x14ac:dyDescent="0.25">
      <c r="A15" s="4" t="s">
        <v>18</v>
      </c>
      <c r="B15" s="4" t="s">
        <v>33</v>
      </c>
      <c r="C15" s="4" t="s">
        <v>17</v>
      </c>
      <c r="D15" s="5">
        <v>5.89</v>
      </c>
      <c r="E15" s="6">
        <v>46063</v>
      </c>
    </row>
    <row r="16" spans="1:5" x14ac:dyDescent="0.25">
      <c r="A16" s="4" t="s">
        <v>18</v>
      </c>
      <c r="B16" s="4" t="s">
        <v>33</v>
      </c>
      <c r="C16" s="4" t="s">
        <v>15</v>
      </c>
      <c r="D16" s="5">
        <v>4.49</v>
      </c>
      <c r="E16" s="6">
        <v>46063</v>
      </c>
    </row>
    <row r="17" spans="1:5" x14ac:dyDescent="0.25">
      <c r="A17" s="4" t="s">
        <v>18</v>
      </c>
      <c r="B17" s="4" t="s">
        <v>33</v>
      </c>
      <c r="C17" s="4" t="s">
        <v>4</v>
      </c>
      <c r="D17" s="5">
        <v>5.99</v>
      </c>
      <c r="E17" s="6">
        <v>46063</v>
      </c>
    </row>
    <row r="18" spans="1:5" x14ac:dyDescent="0.25">
      <c r="A18" s="4" t="s">
        <v>18</v>
      </c>
      <c r="B18" s="4" t="s">
        <v>33</v>
      </c>
      <c r="C18" s="4" t="s">
        <v>13</v>
      </c>
      <c r="D18" s="5">
        <v>5.99</v>
      </c>
      <c r="E18" s="6">
        <v>46063</v>
      </c>
    </row>
    <row r="19" spans="1:5" x14ac:dyDescent="0.25">
      <c r="A19" s="4" t="s">
        <v>16</v>
      </c>
      <c r="B19" s="4" t="s">
        <v>32</v>
      </c>
      <c r="C19" s="4" t="s">
        <v>17</v>
      </c>
      <c r="D19" s="5">
        <v>6.39</v>
      </c>
      <c r="E19" s="6">
        <v>46076</v>
      </c>
    </row>
    <row r="20" spans="1:5" x14ac:dyDescent="0.25">
      <c r="A20" s="4" t="s">
        <v>16</v>
      </c>
      <c r="B20" s="4" t="s">
        <v>32</v>
      </c>
      <c r="C20" s="4" t="s">
        <v>15</v>
      </c>
      <c r="D20" s="5">
        <v>4.99</v>
      </c>
      <c r="E20" s="6">
        <v>46076</v>
      </c>
    </row>
    <row r="21" spans="1:5" x14ac:dyDescent="0.25">
      <c r="A21" s="4" t="s">
        <v>16</v>
      </c>
      <c r="B21" s="4" t="s">
        <v>32</v>
      </c>
      <c r="C21" s="4" t="s">
        <v>4</v>
      </c>
      <c r="D21" s="5">
        <v>5.99</v>
      </c>
      <c r="E21" s="6">
        <v>46076</v>
      </c>
    </row>
    <row r="22" spans="1:5" x14ac:dyDescent="0.25">
      <c r="A22" s="4" t="s">
        <v>16</v>
      </c>
      <c r="B22" s="4" t="s">
        <v>32</v>
      </c>
      <c r="C22" s="4" t="s">
        <v>13</v>
      </c>
      <c r="D22" s="5">
        <v>6.34</v>
      </c>
      <c r="E22" s="6">
        <v>46076</v>
      </c>
    </row>
    <row r="23" spans="1:5" x14ac:dyDescent="0.25">
      <c r="A23" s="4" t="s">
        <v>14</v>
      </c>
      <c r="B23" s="4" t="s">
        <v>30</v>
      </c>
      <c r="C23" s="4" t="s">
        <v>17</v>
      </c>
      <c r="D23" s="5">
        <v>5.99</v>
      </c>
      <c r="E23" s="6">
        <v>46055</v>
      </c>
    </row>
    <row r="24" spans="1:5" x14ac:dyDescent="0.25">
      <c r="A24" s="4" t="s">
        <v>14</v>
      </c>
      <c r="B24" s="4" t="s">
        <v>30</v>
      </c>
      <c r="C24" s="4" t="s">
        <v>15</v>
      </c>
      <c r="D24" s="5">
        <v>4.6500000000000004</v>
      </c>
      <c r="E24" s="6">
        <v>46055</v>
      </c>
    </row>
    <row r="25" spans="1:5" x14ac:dyDescent="0.25">
      <c r="A25" s="4" t="s">
        <v>14</v>
      </c>
      <c r="B25" s="4" t="s">
        <v>30</v>
      </c>
      <c r="C25" s="4" t="s">
        <v>4</v>
      </c>
      <c r="D25" s="5">
        <v>5.99</v>
      </c>
      <c r="E25" s="6">
        <v>46055</v>
      </c>
    </row>
    <row r="26" spans="1:5" x14ac:dyDescent="0.25">
      <c r="A26" s="4" t="s">
        <v>14</v>
      </c>
      <c r="B26" s="4" t="s">
        <v>30</v>
      </c>
      <c r="C26" s="4" t="s">
        <v>13</v>
      </c>
      <c r="D26" s="5">
        <v>6.25</v>
      </c>
      <c r="E26" s="6">
        <v>46055</v>
      </c>
    </row>
  </sheetData>
  <mergeCells count="1">
    <mergeCell ref="A1:E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pane ySplit="7" topLeftCell="A8" activePane="bottomLeft" state="frozen"/>
      <selection pane="bottomLeft" activeCell="B3" sqref="B3"/>
    </sheetView>
  </sheetViews>
  <sheetFormatPr defaultRowHeight="15" x14ac:dyDescent="0.25"/>
  <cols>
    <col min="1" max="1" width="45" customWidth="1"/>
    <col min="2" max="2" width="38" customWidth="1"/>
    <col min="3" max="5" width="45" customWidth="1"/>
  </cols>
  <sheetData>
    <row r="1" spans="1:5" ht="21" x14ac:dyDescent="0.35">
      <c r="A1" s="20" t="s">
        <v>0</v>
      </c>
      <c r="B1" s="19"/>
      <c r="C1" s="19"/>
      <c r="D1" s="19"/>
      <c r="E1" s="19"/>
    </row>
    <row r="3" spans="1:5" x14ac:dyDescent="0.25">
      <c r="A3" s="1" t="s">
        <v>1</v>
      </c>
      <c r="B3" s="2" t="s">
        <v>14</v>
      </c>
    </row>
    <row r="4" spans="1:5" x14ac:dyDescent="0.25">
      <c r="A4" s="1" t="s">
        <v>3</v>
      </c>
      <c r="B4" s="2" t="s">
        <v>13</v>
      </c>
    </row>
    <row r="7" spans="1:5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x14ac:dyDescent="0.25">
      <c r="A8" s="4" t="str">
        <f>IFERROR(INDEX(DADOS!$A$2:$A$101,MATCH(1,DADOS!$G$2:$G$101,0)),"")</f>
        <v>POSTO PARADA VITORIA LTDA</v>
      </c>
      <c r="B8" s="4" t="str">
        <f>IF($A8="","",INDEX(DADOS!$B$2:$B$101,MATCH(1,DADOS!$G$2:$G$101,0)))</f>
        <v>CONSOLACAO</v>
      </c>
      <c r="C8" s="4" t="str">
        <f>IF($A8="","",INDEX(DADOS!$D$2:$D$101,MATCH(1,DADOS!$G$2:$G$101,0)))</f>
        <v>GASOLINA ADITIVADA</v>
      </c>
      <c r="D8" s="5">
        <f>IF($A8="","",INDEX(DADOS!$E$2:$E$101,MATCH(1,DADOS!$G$2:$G$101,0)))</f>
        <v>6.25</v>
      </c>
      <c r="E8" s="6">
        <f>IF($A8="","",INDEX(DADOS!$F$2:$F$101,MATCH(1,DADOS!$G$2:$G$101,0)))</f>
        <v>46049</v>
      </c>
    </row>
    <row r="9" spans="1:5" x14ac:dyDescent="0.25">
      <c r="A9" s="4" t="str">
        <f>IFERROR(INDEX(DADOS!$A$2:$A$101,MATCH(2,DADOS!$G$2:$G$101,0)),"")</f>
        <v>POSTO PARADA VITORIA LTDA</v>
      </c>
      <c r="B9" s="4" t="str">
        <f>IF($A9="","",INDEX(DADOS!$B$2:$B$101,MATCH(2,DADOS!$G$2:$G$101,0)))</f>
        <v>CONSOLACAO</v>
      </c>
      <c r="C9" s="4" t="str">
        <f>IF($A9="","",INDEX(DADOS!$D$2:$D$101,MATCH(2,DADOS!$G$2:$G$101,0)))</f>
        <v>GASOLINA ADITIVADA</v>
      </c>
      <c r="D9" s="5">
        <f>IF($A9="","",INDEX(DADOS!$E$2:$E$101,MATCH(2,DADOS!$G$2:$G$101,0)))</f>
        <v>6.25</v>
      </c>
      <c r="E9" s="6">
        <f>IF($A9="","",INDEX(DADOS!$F$2:$F$101,MATCH(2,DADOS!$G$2:$G$101,0)))</f>
        <v>46034</v>
      </c>
    </row>
    <row r="10" spans="1:5" x14ac:dyDescent="0.25">
      <c r="A10" s="4" t="str">
        <f>IFERROR(INDEX(DADOS!$A$2:$A$101,MATCH(3,DADOS!$G$2:$G$101,0)),"")</f>
        <v>POSTO PARADA VITORIA LTDA</v>
      </c>
      <c r="B10" s="4" t="str">
        <f>IF($A10="","",INDEX(DADOS!$B$2:$B$101,MATCH(3,DADOS!$G$2:$G$101,0)))</f>
        <v>CONSOLACAO</v>
      </c>
      <c r="C10" s="4" t="str">
        <f>IF($A10="","",INDEX(DADOS!$D$2:$D$101,MATCH(3,DADOS!$G$2:$G$101,0)))</f>
        <v>GASOLINA ADITIVADA</v>
      </c>
      <c r="D10" s="5">
        <f>IF($A10="","",INDEX(DADOS!$E$2:$E$101,MATCH(3,DADOS!$G$2:$G$101,0)))</f>
        <v>6.25</v>
      </c>
      <c r="E10" s="6">
        <f>IF($A10="","",INDEX(DADOS!$F$2:$F$101,MATCH(3,DADOS!$G$2:$G$101,0)))</f>
        <v>46042</v>
      </c>
    </row>
    <row r="11" spans="1:5" x14ac:dyDescent="0.25">
      <c r="A11" s="4" t="str">
        <f>IFERROR(INDEX(DADOS!$A$2:$A$101,MATCH(4,DADOS!$G$2:$G$101,0)),"")</f>
        <v>POSTO PARADA VITORIA LTDA</v>
      </c>
      <c r="B11" s="4" t="str">
        <f>IF($A11="","",INDEX(DADOS!$B$2:$B$101,MATCH(4,DADOS!$G$2:$G$101,0)))</f>
        <v>CONSOLACAO</v>
      </c>
      <c r="C11" s="4" t="str">
        <f>IF($A11="","",INDEX(DADOS!$D$2:$D$101,MATCH(4,DADOS!$G$2:$G$101,0)))</f>
        <v>GASOLINA ADITIVADA</v>
      </c>
      <c r="D11" s="5">
        <f>IF($A11="","",INDEX(DADOS!$E$2:$E$101,MATCH(4,DADOS!$G$2:$G$101,0)))</f>
        <v>6.25</v>
      </c>
      <c r="E11" s="6">
        <f>IF($A11="","",INDEX(DADOS!$F$2:$F$101,MATCH(4,DADOS!$G$2:$G$101,0)))</f>
        <v>46047</v>
      </c>
    </row>
    <row r="12" spans="1:5" x14ac:dyDescent="0.25">
      <c r="A12" s="4" t="str">
        <f>IFERROR(INDEX(DADOS!$A$2:$A$101,MATCH(5,DADOS!$G$2:$G$101,0)),"")</f>
        <v>POSTO PARADA VITORIA LTDA</v>
      </c>
      <c r="B12" s="4" t="str">
        <f>IF($A12="","",INDEX(DADOS!$B$2:$B$101,MATCH(5,DADOS!$G$2:$G$101,0)))</f>
        <v>CONSOLACAO</v>
      </c>
      <c r="C12" s="4" t="str">
        <f>IF($A12="","",INDEX(DADOS!$D$2:$D$101,MATCH(5,DADOS!$G$2:$G$101,0)))</f>
        <v>GASOLINA ADITIVADA</v>
      </c>
      <c r="D12" s="5">
        <f>IF($A12="","",INDEX(DADOS!$E$2:$E$101,MATCH(5,DADOS!$G$2:$G$101,0)))</f>
        <v>6.25</v>
      </c>
      <c r="E12" s="6">
        <f>IF($A12="","",INDEX(DADOS!$F$2:$F$101,MATCH(5,DADOS!$G$2:$G$101,0)))</f>
        <v>46055</v>
      </c>
    </row>
    <row r="15" spans="1:5" x14ac:dyDescent="0.25">
      <c r="A15" s="1"/>
    </row>
    <row r="21" spans="1:1" x14ac:dyDescent="0.25">
      <c r="A21" s="7"/>
    </row>
  </sheetData>
  <mergeCells count="1">
    <mergeCell ref="A1:E1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LISTAS!$A$2:$A$6</xm:f>
          </x14:formula1>
          <xm:sqref>B3</xm:sqref>
        </x14:dataValidation>
        <x14:dataValidation type="list" xr:uid="{00000000-0002-0000-0000-000001000000}">
          <x14:formula1>
            <xm:f>LISTAS!$B$2:$B$5</xm:f>
          </x14:formula1>
          <xm:sqref>B4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33" customWidth="1"/>
    <col min="2" max="2" width="20" customWidth="1"/>
  </cols>
  <sheetData>
    <row r="1" spans="1:2" x14ac:dyDescent="0.25">
      <c r="A1" s="8" t="s">
        <v>10</v>
      </c>
      <c r="B1" s="8" t="s">
        <v>11</v>
      </c>
    </row>
    <row r="2" spans="1:2" x14ac:dyDescent="0.25">
      <c r="A2" t="s">
        <v>2</v>
      </c>
      <c r="B2" t="s">
        <v>4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F444-B10B-4A0C-B70F-73F22E5E3D16}">
  <dimension ref="A1:H14"/>
  <sheetViews>
    <sheetView workbookViewId="0">
      <selection activeCell="E14" sqref="E14"/>
    </sheetView>
  </sheetViews>
  <sheetFormatPr defaultRowHeight="15" x14ac:dyDescent="0.25"/>
  <cols>
    <col min="1" max="1" width="26.85546875" customWidth="1"/>
    <col min="2" max="2" width="7.140625" bestFit="1" customWidth="1"/>
    <col min="3" max="3" width="8" bestFit="1" customWidth="1"/>
    <col min="4" max="4" width="10.140625" bestFit="1" customWidth="1"/>
    <col min="5" max="5" width="20.7109375" bestFit="1" customWidth="1"/>
  </cols>
  <sheetData>
    <row r="1" spans="1:8" ht="1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</row>
    <row r="2" spans="1:8" x14ac:dyDescent="0.25">
      <c r="A2" s="18"/>
      <c r="B2" s="18"/>
      <c r="C2" s="18"/>
      <c r="D2" s="18"/>
      <c r="E2" s="18"/>
      <c r="F2" s="18"/>
      <c r="G2" s="18"/>
      <c r="H2" s="18"/>
    </row>
    <row r="3" spans="1:8" x14ac:dyDescent="0.25">
      <c r="A3" t="s">
        <v>50</v>
      </c>
      <c r="B3" t="s">
        <v>17</v>
      </c>
      <c r="C3" t="s">
        <v>15</v>
      </c>
      <c r="D3" t="s">
        <v>4</v>
      </c>
      <c r="E3" t="s">
        <v>13</v>
      </c>
    </row>
    <row r="4" spans="1:8" x14ac:dyDescent="0.25">
      <c r="A4" s="12">
        <v>46028</v>
      </c>
      <c r="B4">
        <v>5.94</v>
      </c>
      <c r="C4">
        <v>4.4400000000000004</v>
      </c>
      <c r="D4">
        <v>6.17</v>
      </c>
      <c r="E4">
        <v>6.17</v>
      </c>
    </row>
    <row r="5" spans="1:8" x14ac:dyDescent="0.25">
      <c r="A5" s="13">
        <v>46034</v>
      </c>
      <c r="B5" s="9">
        <v>5.49</v>
      </c>
      <c r="C5" s="9">
        <v>4.6100000000000003</v>
      </c>
      <c r="D5" s="9">
        <v>6.16</v>
      </c>
      <c r="E5" s="9">
        <v>6.28</v>
      </c>
    </row>
    <row r="6" spans="1:8" x14ac:dyDescent="0.25">
      <c r="A6" s="6">
        <v>46036</v>
      </c>
      <c r="B6" s="5">
        <v>6.39</v>
      </c>
      <c r="C6" s="5">
        <v>4.99</v>
      </c>
      <c r="D6" s="5">
        <v>6.29</v>
      </c>
      <c r="E6" s="5">
        <v>6.64</v>
      </c>
    </row>
    <row r="7" spans="1:8" x14ac:dyDescent="0.25">
      <c r="A7" s="6">
        <v>46037</v>
      </c>
      <c r="B7" s="5">
        <v>4.09</v>
      </c>
      <c r="C7" s="5">
        <v>4.59</v>
      </c>
      <c r="D7" s="5">
        <v>6.29</v>
      </c>
      <c r="E7" s="5">
        <v>6.59</v>
      </c>
    </row>
    <row r="8" spans="1:8" x14ac:dyDescent="0.25">
      <c r="A8" s="6">
        <v>46042</v>
      </c>
      <c r="B8" s="5">
        <v>5.67</v>
      </c>
      <c r="C8" s="5">
        <v>4.74</v>
      </c>
      <c r="D8" s="5">
        <v>6.18</v>
      </c>
      <c r="E8" s="5">
        <v>6.35</v>
      </c>
    </row>
    <row r="9" spans="1:8" x14ac:dyDescent="0.25">
      <c r="A9" s="6">
        <v>46047</v>
      </c>
      <c r="B9" s="5">
        <v>5.99</v>
      </c>
      <c r="C9" s="5">
        <v>4.6500000000000004</v>
      </c>
      <c r="D9" s="5">
        <v>5.99</v>
      </c>
      <c r="E9" s="5">
        <v>6.25</v>
      </c>
    </row>
    <row r="10" spans="1:8" x14ac:dyDescent="0.25">
      <c r="A10" s="6">
        <v>46049</v>
      </c>
      <c r="B10" s="5">
        <v>5.67</v>
      </c>
      <c r="C10" s="5">
        <v>4.76</v>
      </c>
      <c r="D10" s="5">
        <v>6.02</v>
      </c>
      <c r="E10" s="5">
        <v>6.25</v>
      </c>
    </row>
    <row r="11" spans="1:8" x14ac:dyDescent="0.25">
      <c r="A11" s="6">
        <v>46055</v>
      </c>
      <c r="B11" s="5">
        <v>5.99</v>
      </c>
      <c r="C11" s="5">
        <v>4.7699999999999996</v>
      </c>
      <c r="D11" s="5">
        <v>6.04</v>
      </c>
      <c r="E11" s="5">
        <v>6.17</v>
      </c>
    </row>
    <row r="12" spans="1:8" x14ac:dyDescent="0.25">
      <c r="A12" s="6">
        <v>46063</v>
      </c>
      <c r="B12" s="5">
        <v>4.99</v>
      </c>
      <c r="C12" s="5">
        <v>4.6399999999999997</v>
      </c>
      <c r="D12" s="5">
        <v>5.99</v>
      </c>
      <c r="E12" s="5">
        <v>6.19</v>
      </c>
    </row>
    <row r="13" spans="1:8" x14ac:dyDescent="0.25">
      <c r="A13" s="6">
        <v>46064</v>
      </c>
      <c r="B13" s="5">
        <v>6.39</v>
      </c>
      <c r="C13" s="5">
        <v>4.99</v>
      </c>
      <c r="D13" s="5">
        <v>6.09</v>
      </c>
      <c r="E13" s="5">
        <v>6.44</v>
      </c>
    </row>
    <row r="14" spans="1:8" x14ac:dyDescent="0.25">
      <c r="A14" s="6">
        <v>46076</v>
      </c>
      <c r="B14" s="5">
        <v>6.39</v>
      </c>
      <c r="C14" s="5">
        <v>4.99</v>
      </c>
      <c r="D14" s="5">
        <v>5.99</v>
      </c>
      <c r="E14" s="5">
        <v>6.34</v>
      </c>
    </row>
  </sheetData>
  <mergeCells count="1">
    <mergeCell ref="A1:H2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C2F2-A890-4908-8F2A-6DE8FBA28CEB}">
  <dimension ref="A1:H110"/>
  <sheetViews>
    <sheetView workbookViewId="0">
      <selection activeCell="S35" sqref="S35"/>
    </sheetView>
  </sheetViews>
  <sheetFormatPr defaultRowHeight="15" x14ac:dyDescent="0.25"/>
  <cols>
    <col min="1" max="1" width="37.42578125" bestFit="1" customWidth="1"/>
  </cols>
  <sheetData>
    <row r="1" spans="1:8" x14ac:dyDescent="0.25">
      <c r="A1" s="18" t="s">
        <v>51</v>
      </c>
      <c r="B1" s="19"/>
      <c r="C1" s="19"/>
      <c r="D1" s="19"/>
      <c r="E1" s="19"/>
      <c r="F1" s="19"/>
      <c r="G1" s="19"/>
      <c r="H1" s="19"/>
    </row>
    <row r="2" spans="1:8" x14ac:dyDescent="0.25">
      <c r="A2" s="19"/>
      <c r="B2" s="19"/>
      <c r="C2" s="19"/>
      <c r="D2" s="19"/>
      <c r="E2" s="19"/>
      <c r="F2" s="19"/>
      <c r="G2" s="19"/>
      <c r="H2" s="19"/>
    </row>
    <row r="4" spans="1:8" ht="17.25" x14ac:dyDescent="0.3">
      <c r="A4" s="14" t="s">
        <v>2</v>
      </c>
    </row>
    <row r="5" spans="1:8" x14ac:dyDescent="0.25">
      <c r="A5" s="15" t="s">
        <v>50</v>
      </c>
      <c r="B5" s="15" t="s">
        <v>17</v>
      </c>
      <c r="C5" s="15" t="s">
        <v>15</v>
      </c>
      <c r="D5" s="15" t="s">
        <v>4</v>
      </c>
      <c r="E5" s="15" t="s">
        <v>13</v>
      </c>
    </row>
    <row r="6" spans="1:8" x14ac:dyDescent="0.25">
      <c r="A6" s="16">
        <v>46028</v>
      </c>
      <c r="B6" s="17">
        <v>5.99</v>
      </c>
      <c r="C6" s="17">
        <v>4.49</v>
      </c>
      <c r="D6" s="17">
        <v>6.29</v>
      </c>
      <c r="E6" s="17">
        <v>6.29</v>
      </c>
    </row>
    <row r="7" spans="1:8" x14ac:dyDescent="0.25">
      <c r="A7" s="16">
        <v>46034</v>
      </c>
      <c r="B7" s="17">
        <v>5.99</v>
      </c>
      <c r="C7" s="17">
        <v>4.8899999999999997</v>
      </c>
      <c r="D7" s="17">
        <v>6.29</v>
      </c>
      <c r="E7" s="17">
        <v>6.29</v>
      </c>
    </row>
    <row r="8" spans="1:8" x14ac:dyDescent="0.25">
      <c r="A8" s="16">
        <v>46042</v>
      </c>
      <c r="B8" s="17">
        <v>5.99</v>
      </c>
      <c r="C8" s="17">
        <v>4.8899999999999997</v>
      </c>
      <c r="D8" s="17">
        <v>6.29</v>
      </c>
      <c r="E8" s="17">
        <v>6.29</v>
      </c>
    </row>
    <row r="9" spans="1:8" x14ac:dyDescent="0.25">
      <c r="A9" s="16">
        <v>46049</v>
      </c>
      <c r="B9" s="17">
        <v>5.99</v>
      </c>
      <c r="C9" s="17">
        <v>4.8899999999999997</v>
      </c>
      <c r="D9" s="17">
        <v>6.09</v>
      </c>
      <c r="E9" s="17">
        <v>6.09</v>
      </c>
    </row>
    <row r="10" spans="1:8" x14ac:dyDescent="0.25">
      <c r="A10" s="16">
        <v>46055</v>
      </c>
      <c r="B10" s="17">
        <v>5.99</v>
      </c>
      <c r="C10" s="17">
        <v>4.8899999999999997</v>
      </c>
      <c r="D10" s="17">
        <v>6.09</v>
      </c>
      <c r="E10" s="17">
        <v>6.09</v>
      </c>
    </row>
    <row r="29" spans="1:5" ht="17.25" x14ac:dyDescent="0.3">
      <c r="A29" s="14" t="s">
        <v>12</v>
      </c>
    </row>
    <row r="30" spans="1:5" x14ac:dyDescent="0.25">
      <c r="A30" s="15" t="s">
        <v>50</v>
      </c>
      <c r="B30" s="15" t="s">
        <v>17</v>
      </c>
      <c r="C30" s="15" t="s">
        <v>15</v>
      </c>
      <c r="D30" s="15" t="s">
        <v>4</v>
      </c>
      <c r="E30" s="15" t="s">
        <v>13</v>
      </c>
    </row>
    <row r="31" spans="1:5" x14ac:dyDescent="0.25">
      <c r="A31" s="16">
        <v>46034</v>
      </c>
      <c r="B31" s="17">
        <v>4.09</v>
      </c>
      <c r="C31" s="17">
        <v>4.59</v>
      </c>
      <c r="D31" s="17">
        <v>6.29</v>
      </c>
      <c r="E31" s="17">
        <v>6.59</v>
      </c>
    </row>
    <row r="32" spans="1:5" x14ac:dyDescent="0.25">
      <c r="A32" s="16">
        <v>46037</v>
      </c>
      <c r="B32" s="17">
        <v>4.09</v>
      </c>
      <c r="C32" s="17">
        <v>4.59</v>
      </c>
      <c r="D32" s="17">
        <v>6.29</v>
      </c>
      <c r="E32" s="17">
        <v>6.59</v>
      </c>
    </row>
    <row r="33" spans="1:5" x14ac:dyDescent="0.25">
      <c r="A33" s="16">
        <v>46042</v>
      </c>
      <c r="B33" s="17">
        <v>4.09</v>
      </c>
      <c r="C33" s="17">
        <v>4.59</v>
      </c>
      <c r="D33" s="17">
        <v>6.29</v>
      </c>
      <c r="E33" s="17">
        <v>6.59</v>
      </c>
    </row>
    <row r="34" spans="1:5" x14ac:dyDescent="0.25">
      <c r="A34" s="16">
        <v>46049</v>
      </c>
      <c r="B34" s="17">
        <v>4.09</v>
      </c>
      <c r="C34" s="17">
        <v>4.79</v>
      </c>
      <c r="D34" s="17">
        <v>6.09</v>
      </c>
      <c r="E34" s="17">
        <v>6.49</v>
      </c>
    </row>
    <row r="35" spans="1:5" x14ac:dyDescent="0.25">
      <c r="A35" s="16">
        <v>46063</v>
      </c>
      <c r="B35" s="17">
        <v>4.09</v>
      </c>
      <c r="C35" s="17">
        <v>4.79</v>
      </c>
      <c r="D35" s="17">
        <v>5.99</v>
      </c>
      <c r="E35" s="17">
        <v>6.39</v>
      </c>
    </row>
    <row r="54" spans="1:5" ht="17.25" x14ac:dyDescent="0.3">
      <c r="A54" s="14" t="s">
        <v>18</v>
      </c>
    </row>
    <row r="55" spans="1:5" x14ac:dyDescent="0.25">
      <c r="A55" s="15" t="s">
        <v>50</v>
      </c>
      <c r="B55" s="15" t="s">
        <v>17</v>
      </c>
      <c r="C55" s="15" t="s">
        <v>15</v>
      </c>
      <c r="D55" s="15" t="s">
        <v>4</v>
      </c>
      <c r="E55" s="15" t="s">
        <v>13</v>
      </c>
    </row>
    <row r="56" spans="1:5" x14ac:dyDescent="0.25">
      <c r="A56" s="16">
        <v>46028</v>
      </c>
      <c r="B56" s="17">
        <v>5.89</v>
      </c>
      <c r="C56" s="17">
        <v>4.3899999999999997</v>
      </c>
      <c r="D56" s="17">
        <v>6.05</v>
      </c>
      <c r="E56" s="17">
        <v>6.05</v>
      </c>
    </row>
    <row r="57" spans="1:5" x14ac:dyDescent="0.25">
      <c r="A57" s="16">
        <v>46034</v>
      </c>
      <c r="B57" s="17">
        <v>5.89</v>
      </c>
      <c r="C57" s="17">
        <v>4.49</v>
      </c>
      <c r="D57" s="17">
        <v>5.99</v>
      </c>
      <c r="E57" s="17">
        <v>5.99</v>
      </c>
    </row>
    <row r="58" spans="1:5" x14ac:dyDescent="0.25">
      <c r="A58" s="16">
        <v>46042</v>
      </c>
      <c r="B58" s="17">
        <v>5.89</v>
      </c>
      <c r="C58" s="17">
        <v>4.59</v>
      </c>
      <c r="D58" s="17">
        <v>5.99</v>
      </c>
      <c r="E58" s="17">
        <v>5.99</v>
      </c>
    </row>
    <row r="59" spans="1:5" x14ac:dyDescent="0.25">
      <c r="A59" s="16">
        <v>46049</v>
      </c>
      <c r="B59" s="17">
        <v>5.89</v>
      </c>
      <c r="C59" s="17">
        <v>4.49</v>
      </c>
      <c r="D59" s="17">
        <v>5.99</v>
      </c>
      <c r="E59" s="17">
        <v>5.99</v>
      </c>
    </row>
    <row r="60" spans="1:5" x14ac:dyDescent="0.25">
      <c r="A60" s="16">
        <v>46063</v>
      </c>
      <c r="B60" s="17">
        <v>5.89</v>
      </c>
      <c r="C60" s="17">
        <v>4.49</v>
      </c>
      <c r="D60" s="17">
        <v>5.99</v>
      </c>
      <c r="E60" s="17">
        <v>5.99</v>
      </c>
    </row>
    <row r="79" spans="1:5" ht="17.25" x14ac:dyDescent="0.3">
      <c r="A79" s="14" t="s">
        <v>16</v>
      </c>
    </row>
    <row r="80" spans="1:5" x14ac:dyDescent="0.25">
      <c r="A80" s="15" t="s">
        <v>50</v>
      </c>
      <c r="B80" s="15" t="s">
        <v>17</v>
      </c>
      <c r="C80" s="15" t="s">
        <v>15</v>
      </c>
      <c r="D80" s="15" t="s">
        <v>4</v>
      </c>
      <c r="E80" s="15" t="s">
        <v>13</v>
      </c>
    </row>
    <row r="81" spans="1:5" x14ac:dyDescent="0.25">
      <c r="A81" s="16">
        <v>46036</v>
      </c>
      <c r="B81" s="17">
        <v>6.39</v>
      </c>
      <c r="C81" s="17">
        <v>4.99</v>
      </c>
      <c r="D81" s="17">
        <v>6.29</v>
      </c>
      <c r="E81" s="17">
        <v>6.64</v>
      </c>
    </row>
    <row r="82" spans="1:5" x14ac:dyDescent="0.25">
      <c r="A82" s="16">
        <v>46042</v>
      </c>
      <c r="B82" s="17">
        <v>6.39</v>
      </c>
      <c r="C82" s="17">
        <v>4.99</v>
      </c>
      <c r="D82" s="17">
        <v>6.29</v>
      </c>
      <c r="E82" s="17">
        <v>6.64</v>
      </c>
    </row>
    <row r="83" spans="1:5" x14ac:dyDescent="0.25">
      <c r="A83" s="16">
        <v>46049</v>
      </c>
      <c r="B83" s="17">
        <v>6.39</v>
      </c>
      <c r="C83" s="17">
        <v>4.99</v>
      </c>
      <c r="D83" s="17">
        <v>5.95</v>
      </c>
      <c r="E83" s="17">
        <v>6.45</v>
      </c>
    </row>
    <row r="84" spans="1:5" x14ac:dyDescent="0.25">
      <c r="A84" s="16">
        <v>46064</v>
      </c>
      <c r="B84" s="17">
        <v>6.39</v>
      </c>
      <c r="C84" s="17">
        <v>4.99</v>
      </c>
      <c r="D84" s="17">
        <v>6.09</v>
      </c>
      <c r="E84" s="17">
        <v>6.44</v>
      </c>
    </row>
    <row r="85" spans="1:5" x14ac:dyDescent="0.25">
      <c r="A85" s="16">
        <v>46076</v>
      </c>
      <c r="B85" s="17">
        <v>6.39</v>
      </c>
      <c r="C85" s="17">
        <v>4.99</v>
      </c>
      <c r="D85" s="17">
        <v>5.99</v>
      </c>
      <c r="E85" s="17">
        <v>6.34</v>
      </c>
    </row>
    <row r="104" spans="1:5" ht="17.25" x14ac:dyDescent="0.3">
      <c r="A104" s="14" t="s">
        <v>14</v>
      </c>
    </row>
    <row r="105" spans="1:5" x14ac:dyDescent="0.25">
      <c r="A105" s="15" t="s">
        <v>50</v>
      </c>
      <c r="B105" s="15" t="s">
        <v>17</v>
      </c>
      <c r="C105" s="15" t="s">
        <v>15</v>
      </c>
      <c r="D105" s="15" t="s">
        <v>4</v>
      </c>
      <c r="E105" s="15" t="s">
        <v>13</v>
      </c>
    </row>
    <row r="106" spans="1:5" x14ac:dyDescent="0.25">
      <c r="A106" s="16">
        <v>46034</v>
      </c>
      <c r="B106" s="17">
        <v>5.99</v>
      </c>
      <c r="C106" s="17">
        <v>4.45</v>
      </c>
      <c r="D106" s="17">
        <v>6.05</v>
      </c>
      <c r="E106" s="17">
        <v>6.25</v>
      </c>
    </row>
    <row r="107" spans="1:5" x14ac:dyDescent="0.25">
      <c r="A107" s="16">
        <v>46042</v>
      </c>
      <c r="B107" s="17">
        <v>5.99</v>
      </c>
      <c r="C107" s="17">
        <v>4.6500000000000004</v>
      </c>
      <c r="D107" s="17">
        <v>6.05</v>
      </c>
      <c r="E107" s="17">
        <v>6.25</v>
      </c>
    </row>
    <row r="108" spans="1:5" x14ac:dyDescent="0.25">
      <c r="A108" s="16">
        <v>46047</v>
      </c>
      <c r="B108" s="17">
        <v>5.99</v>
      </c>
      <c r="C108" s="17">
        <v>4.6500000000000004</v>
      </c>
      <c r="D108" s="17">
        <v>5.99</v>
      </c>
      <c r="E108" s="17">
        <v>6.25</v>
      </c>
    </row>
    <row r="109" spans="1:5" x14ac:dyDescent="0.25">
      <c r="A109" s="16">
        <v>46049</v>
      </c>
      <c r="B109" s="17">
        <v>5.99</v>
      </c>
      <c r="C109" s="17">
        <v>4.6500000000000004</v>
      </c>
      <c r="D109" s="17">
        <v>5.99</v>
      </c>
      <c r="E109" s="17">
        <v>6.25</v>
      </c>
    </row>
    <row r="110" spans="1:5" x14ac:dyDescent="0.25">
      <c r="A110" s="16">
        <v>46055</v>
      </c>
      <c r="B110" s="17">
        <v>5.99</v>
      </c>
      <c r="C110" s="17">
        <v>4.6500000000000004</v>
      </c>
      <c r="D110" s="17">
        <v>5.99</v>
      </c>
      <c r="E110" s="17">
        <v>6.25</v>
      </c>
    </row>
  </sheetData>
  <mergeCells count="1">
    <mergeCell ref="A1:H2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33" customWidth="1"/>
    <col min="2" max="2" width="16" customWidth="1"/>
    <col min="3" max="3" width="44" customWidth="1"/>
    <col min="4" max="4" width="20" customWidth="1"/>
    <col min="5" max="5" width="12" customWidth="1"/>
    <col min="6" max="6" width="13" customWidth="1"/>
    <col min="7" max="7" width="45" hidden="1" customWidth="1"/>
  </cols>
  <sheetData>
    <row r="1" spans="1:7" x14ac:dyDescent="0.2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</row>
    <row r="2" spans="1:7" x14ac:dyDescent="0.25">
      <c r="A2" s="4" t="s">
        <v>2</v>
      </c>
      <c r="B2" s="4" t="s">
        <v>26</v>
      </c>
      <c r="C2" s="4" t="s">
        <v>27</v>
      </c>
      <c r="D2" s="4" t="s">
        <v>4</v>
      </c>
      <c r="E2" s="5">
        <v>6.29</v>
      </c>
      <c r="F2" s="6">
        <v>46028</v>
      </c>
      <c r="G2" t="str">
        <f>IF(AND(A2='CONSULTA 4'!$B$3,D2='CONSULTA 4'!$B$4),COUNTIFS($A$2:A2,'CONSULTA 4'!$B$3,$D$2:D2,'CONSULTA 4'!$B$4),"")</f>
        <v/>
      </c>
    </row>
    <row r="3" spans="1:7" x14ac:dyDescent="0.25">
      <c r="A3" s="4" t="s">
        <v>2</v>
      </c>
      <c r="B3" s="4" t="s">
        <v>26</v>
      </c>
      <c r="C3" s="4" t="s">
        <v>27</v>
      </c>
      <c r="D3" s="4" t="s">
        <v>13</v>
      </c>
      <c r="E3" s="5">
        <v>6.29</v>
      </c>
      <c r="F3" s="6">
        <v>46028</v>
      </c>
      <c r="G3" t="str">
        <f>IF(AND(A3='CONSULTA 4'!$B$3,D3='CONSULTA 4'!$B$4),COUNTIFS($A$2:A3,'CONSULTA 4'!$B$3,$D$2:D3,'CONSULTA 4'!$B$4),"")</f>
        <v/>
      </c>
    </row>
    <row r="4" spans="1:7" x14ac:dyDescent="0.25">
      <c r="A4" s="4" t="s">
        <v>2</v>
      </c>
      <c r="B4" s="4" t="s">
        <v>26</v>
      </c>
      <c r="C4" s="4" t="s">
        <v>27</v>
      </c>
      <c r="D4" s="4" t="s">
        <v>15</v>
      </c>
      <c r="E4" s="5">
        <v>4.49</v>
      </c>
      <c r="F4" s="6">
        <v>46028</v>
      </c>
      <c r="G4" t="str">
        <f>IF(AND(A4='CONSULTA 4'!$B$3,D4='CONSULTA 4'!$B$4),COUNTIFS($A$2:A4,'CONSULTA 4'!$B$3,$D$2:D4,'CONSULTA 4'!$B$4),"")</f>
        <v/>
      </c>
    </row>
    <row r="5" spans="1:7" x14ac:dyDescent="0.25">
      <c r="A5" s="4" t="s">
        <v>2</v>
      </c>
      <c r="B5" s="4" t="s">
        <v>26</v>
      </c>
      <c r="C5" s="4" t="s">
        <v>27</v>
      </c>
      <c r="D5" s="4" t="s">
        <v>17</v>
      </c>
      <c r="E5" s="5">
        <v>5.99</v>
      </c>
      <c r="F5" s="6">
        <v>46028</v>
      </c>
      <c r="G5" t="str">
        <f>IF(AND(A5='CONSULTA 4'!$B$3,D5='CONSULTA 4'!$B$4),COUNTIFS($A$2:A5,'CONSULTA 4'!$B$3,$D$2:D5,'CONSULTA 4'!$B$4),"")</f>
        <v/>
      </c>
    </row>
    <row r="6" spans="1:7" x14ac:dyDescent="0.25">
      <c r="A6" s="4" t="s">
        <v>2</v>
      </c>
      <c r="B6" s="4" t="s">
        <v>26</v>
      </c>
      <c r="C6" s="4" t="s">
        <v>27</v>
      </c>
      <c r="D6" s="4" t="s">
        <v>4</v>
      </c>
      <c r="E6" s="5">
        <v>6.29</v>
      </c>
      <c r="F6" s="6">
        <v>46034</v>
      </c>
      <c r="G6" t="str">
        <f>IF(AND(A6='CONSULTA 4'!$B$3,D6='CONSULTA 4'!$B$4),COUNTIFS($A$2:A6,'CONSULTA 4'!$B$3,$D$2:D6,'CONSULTA 4'!$B$4),"")</f>
        <v/>
      </c>
    </row>
    <row r="7" spans="1:7" x14ac:dyDescent="0.25">
      <c r="A7" s="4" t="s">
        <v>2</v>
      </c>
      <c r="B7" s="4" t="s">
        <v>26</v>
      </c>
      <c r="C7" s="4" t="s">
        <v>27</v>
      </c>
      <c r="D7" s="4" t="s">
        <v>13</v>
      </c>
      <c r="E7" s="5">
        <v>6.29</v>
      </c>
      <c r="F7" s="6">
        <v>46034</v>
      </c>
      <c r="G7" t="str">
        <f>IF(AND(A7='CONSULTA 4'!$B$3,D7='CONSULTA 4'!$B$4),COUNTIFS($A$2:A7,'CONSULTA 4'!$B$3,$D$2:D7,'CONSULTA 4'!$B$4),"")</f>
        <v/>
      </c>
    </row>
    <row r="8" spans="1:7" x14ac:dyDescent="0.25">
      <c r="A8" s="4" t="s">
        <v>2</v>
      </c>
      <c r="B8" s="4" t="s">
        <v>26</v>
      </c>
      <c r="C8" s="4" t="s">
        <v>27</v>
      </c>
      <c r="D8" s="4" t="s">
        <v>15</v>
      </c>
      <c r="E8" s="5">
        <v>4.8899999999999997</v>
      </c>
      <c r="F8" s="6">
        <v>46034</v>
      </c>
      <c r="G8" t="str">
        <f>IF(AND(A8='CONSULTA 4'!$B$3,D8='CONSULTA 4'!$B$4),COUNTIFS($A$2:A8,'CONSULTA 4'!$B$3,$D$2:D8,'CONSULTA 4'!$B$4),"")</f>
        <v/>
      </c>
    </row>
    <row r="9" spans="1:7" x14ac:dyDescent="0.25">
      <c r="A9" s="4" t="s">
        <v>2</v>
      </c>
      <c r="B9" s="4" t="s">
        <v>26</v>
      </c>
      <c r="C9" s="4" t="s">
        <v>27</v>
      </c>
      <c r="D9" s="4" t="s">
        <v>17</v>
      </c>
      <c r="E9" s="5">
        <v>5.99</v>
      </c>
      <c r="F9" s="6">
        <v>46034</v>
      </c>
      <c r="G9" t="str">
        <f>IF(AND(A9='CONSULTA 4'!$B$3,D9='CONSULTA 4'!$B$4),COUNTIFS($A$2:A9,'CONSULTA 4'!$B$3,$D$2:D9,'CONSULTA 4'!$B$4),"")</f>
        <v/>
      </c>
    </row>
    <row r="10" spans="1:7" x14ac:dyDescent="0.25">
      <c r="A10" s="4" t="s">
        <v>2</v>
      </c>
      <c r="B10" s="4" t="s">
        <v>26</v>
      </c>
      <c r="C10" s="4" t="s">
        <v>27</v>
      </c>
      <c r="D10" s="4" t="s">
        <v>4</v>
      </c>
      <c r="E10" s="5">
        <v>6.29</v>
      </c>
      <c r="F10" s="6">
        <v>46042</v>
      </c>
      <c r="G10" t="str">
        <f>IF(AND(A10='CONSULTA 4'!$B$3,D10='CONSULTA 4'!$B$4),COUNTIFS($A$2:A10,'CONSULTA 4'!$B$3,$D$2:D10,'CONSULTA 4'!$B$4),"")</f>
        <v/>
      </c>
    </row>
    <row r="11" spans="1:7" x14ac:dyDescent="0.25">
      <c r="A11" s="4" t="s">
        <v>2</v>
      </c>
      <c r="B11" s="4" t="s">
        <v>26</v>
      </c>
      <c r="C11" s="4" t="s">
        <v>27</v>
      </c>
      <c r="D11" s="4" t="s">
        <v>13</v>
      </c>
      <c r="E11" s="5">
        <v>6.29</v>
      </c>
      <c r="F11" s="6">
        <v>46042</v>
      </c>
      <c r="G11" t="str">
        <f>IF(AND(A11='CONSULTA 4'!$B$3,D11='CONSULTA 4'!$B$4),COUNTIFS($A$2:A11,'CONSULTA 4'!$B$3,$D$2:D11,'CONSULTA 4'!$B$4),"")</f>
        <v/>
      </c>
    </row>
    <row r="12" spans="1:7" x14ac:dyDescent="0.25">
      <c r="A12" s="4" t="s">
        <v>2</v>
      </c>
      <c r="B12" s="4" t="s">
        <v>26</v>
      </c>
      <c r="C12" s="4" t="s">
        <v>27</v>
      </c>
      <c r="D12" s="4" t="s">
        <v>15</v>
      </c>
      <c r="E12" s="5">
        <v>4.8899999999999997</v>
      </c>
      <c r="F12" s="6">
        <v>46042</v>
      </c>
      <c r="G12" t="str">
        <f>IF(AND(A12='CONSULTA 4'!$B$3,D12='CONSULTA 4'!$B$4),COUNTIFS($A$2:A12,'CONSULTA 4'!$B$3,$D$2:D12,'CONSULTA 4'!$B$4),"")</f>
        <v/>
      </c>
    </row>
    <row r="13" spans="1:7" x14ac:dyDescent="0.25">
      <c r="A13" s="4" t="s">
        <v>2</v>
      </c>
      <c r="B13" s="4" t="s">
        <v>26</v>
      </c>
      <c r="C13" s="4" t="s">
        <v>27</v>
      </c>
      <c r="D13" s="4" t="s">
        <v>17</v>
      </c>
      <c r="E13" s="5">
        <v>5.99</v>
      </c>
      <c r="F13" s="6">
        <v>46042</v>
      </c>
      <c r="G13" t="str">
        <f>IF(AND(A13='CONSULTA 4'!$B$3,D13='CONSULTA 4'!$B$4),COUNTIFS($A$2:A13,'CONSULTA 4'!$B$3,$D$2:D13,'CONSULTA 4'!$B$4),"")</f>
        <v/>
      </c>
    </row>
    <row r="14" spans="1:7" x14ac:dyDescent="0.25">
      <c r="A14" s="4" t="s">
        <v>2</v>
      </c>
      <c r="B14" s="4" t="s">
        <v>26</v>
      </c>
      <c r="C14" s="4" t="s">
        <v>27</v>
      </c>
      <c r="D14" s="4" t="s">
        <v>4</v>
      </c>
      <c r="E14" s="5">
        <v>6.09</v>
      </c>
      <c r="F14" s="6">
        <v>46049</v>
      </c>
      <c r="G14" t="str">
        <f>IF(AND(A14='CONSULTA 4'!$B$3,D14='CONSULTA 4'!$B$4),COUNTIFS($A$2:A14,'CONSULTA 4'!$B$3,$D$2:D14,'CONSULTA 4'!$B$4),"")</f>
        <v/>
      </c>
    </row>
    <row r="15" spans="1:7" x14ac:dyDescent="0.25">
      <c r="A15" s="4" t="s">
        <v>2</v>
      </c>
      <c r="B15" s="4" t="s">
        <v>26</v>
      </c>
      <c r="C15" s="4" t="s">
        <v>27</v>
      </c>
      <c r="D15" s="4" t="s">
        <v>13</v>
      </c>
      <c r="E15" s="5">
        <v>6.09</v>
      </c>
      <c r="F15" s="6">
        <v>46049</v>
      </c>
      <c r="G15" t="str">
        <f>IF(AND(A15='CONSULTA 4'!$B$3,D15='CONSULTA 4'!$B$4),COUNTIFS($A$2:A15,'CONSULTA 4'!$B$3,$D$2:D15,'CONSULTA 4'!$B$4),"")</f>
        <v/>
      </c>
    </row>
    <row r="16" spans="1:7" x14ac:dyDescent="0.25">
      <c r="A16" s="4" t="s">
        <v>2</v>
      </c>
      <c r="B16" s="4" t="s">
        <v>26</v>
      </c>
      <c r="C16" s="4" t="s">
        <v>27</v>
      </c>
      <c r="D16" s="4" t="s">
        <v>15</v>
      </c>
      <c r="E16" s="5">
        <v>4.8899999999999997</v>
      </c>
      <c r="F16" s="6">
        <v>46049</v>
      </c>
      <c r="G16" t="str">
        <f>IF(AND(A16='CONSULTA 4'!$B$3,D16='CONSULTA 4'!$B$4),COUNTIFS($A$2:A16,'CONSULTA 4'!$B$3,$D$2:D16,'CONSULTA 4'!$B$4),"")</f>
        <v/>
      </c>
    </row>
    <row r="17" spans="1:7" x14ac:dyDescent="0.25">
      <c r="A17" s="4" t="s">
        <v>2</v>
      </c>
      <c r="B17" s="4" t="s">
        <v>26</v>
      </c>
      <c r="C17" s="4" t="s">
        <v>27</v>
      </c>
      <c r="D17" s="4" t="s">
        <v>17</v>
      </c>
      <c r="E17" s="5">
        <v>5.99</v>
      </c>
      <c r="F17" s="6">
        <v>46049</v>
      </c>
      <c r="G17" t="str">
        <f>IF(AND(A17='CONSULTA 4'!$B$3,D17='CONSULTA 4'!$B$4),COUNTIFS($A$2:A17,'CONSULTA 4'!$B$3,$D$2:D17,'CONSULTA 4'!$B$4),"")</f>
        <v/>
      </c>
    </row>
    <row r="18" spans="1:7" x14ac:dyDescent="0.25">
      <c r="A18" s="4" t="s">
        <v>2</v>
      </c>
      <c r="B18" s="4" t="s">
        <v>26</v>
      </c>
      <c r="C18" s="4" t="s">
        <v>27</v>
      </c>
      <c r="D18" s="4" t="s">
        <v>4</v>
      </c>
      <c r="E18" s="5">
        <v>6.09</v>
      </c>
      <c r="F18" s="6">
        <v>46055</v>
      </c>
      <c r="G18" t="str">
        <f>IF(AND(A18='CONSULTA 4'!$B$3,D18='CONSULTA 4'!$B$4),COUNTIFS($A$2:A18,'CONSULTA 4'!$B$3,$D$2:D18,'CONSULTA 4'!$B$4),"")</f>
        <v/>
      </c>
    </row>
    <row r="19" spans="1:7" x14ac:dyDescent="0.25">
      <c r="A19" s="4" t="s">
        <v>2</v>
      </c>
      <c r="B19" s="4" t="s">
        <v>26</v>
      </c>
      <c r="C19" s="4" t="s">
        <v>27</v>
      </c>
      <c r="D19" s="4" t="s">
        <v>13</v>
      </c>
      <c r="E19" s="5">
        <v>6.09</v>
      </c>
      <c r="F19" s="6">
        <v>46055</v>
      </c>
      <c r="G19" t="str">
        <f>IF(AND(A19='CONSULTA 4'!$B$3,D19='CONSULTA 4'!$B$4),COUNTIFS($A$2:A19,'CONSULTA 4'!$B$3,$D$2:D19,'CONSULTA 4'!$B$4),"")</f>
        <v/>
      </c>
    </row>
    <row r="20" spans="1:7" x14ac:dyDescent="0.25">
      <c r="A20" s="4" t="s">
        <v>2</v>
      </c>
      <c r="B20" s="4" t="s">
        <v>26</v>
      </c>
      <c r="C20" s="4" t="s">
        <v>27</v>
      </c>
      <c r="D20" s="4" t="s">
        <v>15</v>
      </c>
      <c r="E20" s="5">
        <v>4.8899999999999997</v>
      </c>
      <c r="F20" s="6">
        <v>46055</v>
      </c>
      <c r="G20" t="str">
        <f>IF(AND(A20='CONSULTA 4'!$B$3,D20='CONSULTA 4'!$B$4),COUNTIFS($A$2:A20,'CONSULTA 4'!$B$3,$D$2:D20,'CONSULTA 4'!$B$4),"")</f>
        <v/>
      </c>
    </row>
    <row r="21" spans="1:7" x14ac:dyDescent="0.25">
      <c r="A21" s="4" t="s">
        <v>2</v>
      </c>
      <c r="B21" s="4" t="s">
        <v>26</v>
      </c>
      <c r="C21" s="4" t="s">
        <v>27</v>
      </c>
      <c r="D21" s="4" t="s">
        <v>17</v>
      </c>
      <c r="E21" s="5">
        <v>5.99</v>
      </c>
      <c r="F21" s="6">
        <v>46055</v>
      </c>
      <c r="G21" t="str">
        <f>IF(AND(A21='CONSULTA 4'!$B$3,D21='CONSULTA 4'!$B$4),COUNTIFS($A$2:A21,'CONSULTA 4'!$B$3,$D$2:D21,'CONSULTA 4'!$B$4),"")</f>
        <v/>
      </c>
    </row>
    <row r="22" spans="1:7" x14ac:dyDescent="0.25">
      <c r="A22" s="4" t="s">
        <v>12</v>
      </c>
      <c r="B22" s="4" t="s">
        <v>28</v>
      </c>
      <c r="C22" s="4" t="s">
        <v>29</v>
      </c>
      <c r="D22" s="4" t="s">
        <v>4</v>
      </c>
      <c r="E22" s="5">
        <v>6.29</v>
      </c>
      <c r="F22" s="6">
        <v>46034</v>
      </c>
      <c r="G22" t="str">
        <f>IF(AND(A22='CONSULTA 4'!$B$3,D22='CONSULTA 4'!$B$4),COUNTIFS($A$2:A22,'CONSULTA 4'!$B$3,$D$2:D22,'CONSULTA 4'!$B$4),"")</f>
        <v/>
      </c>
    </row>
    <row r="23" spans="1:7" x14ac:dyDescent="0.25">
      <c r="A23" s="4" t="s">
        <v>12</v>
      </c>
      <c r="B23" s="4" t="s">
        <v>28</v>
      </c>
      <c r="C23" s="4" t="s">
        <v>29</v>
      </c>
      <c r="D23" s="4" t="s">
        <v>13</v>
      </c>
      <c r="E23" s="5">
        <v>6.59</v>
      </c>
      <c r="F23" s="6">
        <v>46034</v>
      </c>
      <c r="G23" t="str">
        <f>IF(AND(A23='CONSULTA 4'!$B$3,D23='CONSULTA 4'!$B$4),COUNTIFS($A$2:A23,'CONSULTA 4'!$B$3,$D$2:D23,'CONSULTA 4'!$B$4),"")</f>
        <v/>
      </c>
    </row>
    <row r="24" spans="1:7" x14ac:dyDescent="0.25">
      <c r="A24" s="4" t="s">
        <v>12</v>
      </c>
      <c r="B24" s="4" t="s">
        <v>28</v>
      </c>
      <c r="C24" s="4" t="s">
        <v>29</v>
      </c>
      <c r="D24" s="4" t="s">
        <v>15</v>
      </c>
      <c r="E24" s="5">
        <v>4.59</v>
      </c>
      <c r="F24" s="6">
        <v>46034</v>
      </c>
      <c r="G24" t="str">
        <f>IF(AND(A24='CONSULTA 4'!$B$3,D24='CONSULTA 4'!$B$4),COUNTIFS($A$2:A24,'CONSULTA 4'!$B$3,$D$2:D24,'CONSULTA 4'!$B$4),"")</f>
        <v/>
      </c>
    </row>
    <row r="25" spans="1:7" x14ac:dyDescent="0.25">
      <c r="A25" s="4" t="s">
        <v>12</v>
      </c>
      <c r="B25" s="4" t="s">
        <v>28</v>
      </c>
      <c r="C25" s="4" t="s">
        <v>29</v>
      </c>
      <c r="D25" s="4" t="s">
        <v>17</v>
      </c>
      <c r="E25" s="5">
        <v>4.09</v>
      </c>
      <c r="F25" s="6">
        <v>46034</v>
      </c>
      <c r="G25" t="str">
        <f>IF(AND(A25='CONSULTA 4'!$B$3,D25='CONSULTA 4'!$B$4),COUNTIFS($A$2:A25,'CONSULTA 4'!$B$3,$D$2:D25,'CONSULTA 4'!$B$4),"")</f>
        <v/>
      </c>
    </row>
    <row r="26" spans="1:7" x14ac:dyDescent="0.25">
      <c r="A26" s="4" t="s">
        <v>12</v>
      </c>
      <c r="B26" s="4" t="s">
        <v>28</v>
      </c>
      <c r="C26" s="4" t="s">
        <v>29</v>
      </c>
      <c r="D26" s="4" t="s">
        <v>4</v>
      </c>
      <c r="E26" s="5">
        <v>6.29</v>
      </c>
      <c r="F26" s="6">
        <v>46037</v>
      </c>
      <c r="G26" t="str">
        <f>IF(AND(A26='CONSULTA 4'!$B$3,D26='CONSULTA 4'!$B$4),COUNTIFS($A$2:A26,'CONSULTA 4'!$B$3,$D$2:D26,'CONSULTA 4'!$B$4),"")</f>
        <v/>
      </c>
    </row>
    <row r="27" spans="1:7" x14ac:dyDescent="0.25">
      <c r="A27" s="4" t="s">
        <v>12</v>
      </c>
      <c r="B27" s="4" t="s">
        <v>28</v>
      </c>
      <c r="C27" s="4" t="s">
        <v>29</v>
      </c>
      <c r="D27" s="4" t="s">
        <v>13</v>
      </c>
      <c r="E27" s="5">
        <v>6.59</v>
      </c>
      <c r="F27" s="6">
        <v>46037</v>
      </c>
      <c r="G27" t="str">
        <f>IF(AND(A27='CONSULTA 4'!$B$3,D27='CONSULTA 4'!$B$4),COUNTIFS($A$2:A27,'CONSULTA 4'!$B$3,$D$2:D27,'CONSULTA 4'!$B$4),"")</f>
        <v/>
      </c>
    </row>
    <row r="28" spans="1:7" x14ac:dyDescent="0.25">
      <c r="A28" s="4" t="s">
        <v>12</v>
      </c>
      <c r="B28" s="4" t="s">
        <v>28</v>
      </c>
      <c r="C28" s="4" t="s">
        <v>29</v>
      </c>
      <c r="D28" s="4" t="s">
        <v>15</v>
      </c>
      <c r="E28" s="5">
        <v>4.59</v>
      </c>
      <c r="F28" s="6">
        <v>46037</v>
      </c>
      <c r="G28" t="str">
        <f>IF(AND(A28='CONSULTA 4'!$B$3,D28='CONSULTA 4'!$B$4),COUNTIFS($A$2:A28,'CONSULTA 4'!$B$3,$D$2:D28,'CONSULTA 4'!$B$4),"")</f>
        <v/>
      </c>
    </row>
    <row r="29" spans="1:7" x14ac:dyDescent="0.25">
      <c r="A29" s="4" t="s">
        <v>12</v>
      </c>
      <c r="B29" s="4" t="s">
        <v>28</v>
      </c>
      <c r="C29" s="4" t="s">
        <v>29</v>
      </c>
      <c r="D29" s="4" t="s">
        <v>17</v>
      </c>
      <c r="E29" s="5">
        <v>4.09</v>
      </c>
      <c r="F29" s="6">
        <v>46037</v>
      </c>
      <c r="G29" t="str">
        <f>IF(AND(A29='CONSULTA 4'!$B$3,D29='CONSULTA 4'!$B$4),COUNTIFS($A$2:A29,'CONSULTA 4'!$B$3,$D$2:D29,'CONSULTA 4'!$B$4),"")</f>
        <v/>
      </c>
    </row>
    <row r="30" spans="1:7" x14ac:dyDescent="0.25">
      <c r="A30" s="4" t="s">
        <v>12</v>
      </c>
      <c r="B30" s="4" t="s">
        <v>28</v>
      </c>
      <c r="C30" s="4" t="s">
        <v>29</v>
      </c>
      <c r="D30" s="4" t="s">
        <v>4</v>
      </c>
      <c r="E30" s="5">
        <v>6.29</v>
      </c>
      <c r="F30" s="6">
        <v>46042</v>
      </c>
      <c r="G30" t="str">
        <f>IF(AND(A30='CONSULTA 4'!$B$3,D30='CONSULTA 4'!$B$4),COUNTIFS($A$2:A30,'CONSULTA 4'!$B$3,$D$2:D30,'CONSULTA 4'!$B$4),"")</f>
        <v/>
      </c>
    </row>
    <row r="31" spans="1:7" x14ac:dyDescent="0.25">
      <c r="A31" s="4" t="s">
        <v>12</v>
      </c>
      <c r="B31" s="4" t="s">
        <v>28</v>
      </c>
      <c r="C31" s="4" t="s">
        <v>29</v>
      </c>
      <c r="D31" s="4" t="s">
        <v>13</v>
      </c>
      <c r="E31" s="5">
        <v>6.59</v>
      </c>
      <c r="F31" s="6">
        <v>46042</v>
      </c>
      <c r="G31" t="str">
        <f>IF(AND(A31='CONSULTA 4'!$B$3,D31='CONSULTA 4'!$B$4),COUNTIFS($A$2:A31,'CONSULTA 4'!$B$3,$D$2:D31,'CONSULTA 4'!$B$4),"")</f>
        <v/>
      </c>
    </row>
    <row r="32" spans="1:7" x14ac:dyDescent="0.25">
      <c r="A32" s="4" t="s">
        <v>12</v>
      </c>
      <c r="B32" s="4" t="s">
        <v>28</v>
      </c>
      <c r="C32" s="4" t="s">
        <v>29</v>
      </c>
      <c r="D32" s="4" t="s">
        <v>15</v>
      </c>
      <c r="E32" s="5">
        <v>4.59</v>
      </c>
      <c r="F32" s="6">
        <v>46042</v>
      </c>
      <c r="G32" t="str">
        <f>IF(AND(A32='CONSULTA 4'!$B$3,D32='CONSULTA 4'!$B$4),COUNTIFS($A$2:A32,'CONSULTA 4'!$B$3,$D$2:D32,'CONSULTA 4'!$B$4),"")</f>
        <v/>
      </c>
    </row>
    <row r="33" spans="1:7" x14ac:dyDescent="0.25">
      <c r="A33" s="4" t="s">
        <v>12</v>
      </c>
      <c r="B33" s="4" t="s">
        <v>28</v>
      </c>
      <c r="C33" s="4" t="s">
        <v>29</v>
      </c>
      <c r="D33" s="4" t="s">
        <v>17</v>
      </c>
      <c r="E33" s="5">
        <v>4.09</v>
      </c>
      <c r="F33" s="6">
        <v>46042</v>
      </c>
      <c r="G33" t="str">
        <f>IF(AND(A33='CONSULTA 4'!$B$3,D33='CONSULTA 4'!$B$4),COUNTIFS($A$2:A33,'CONSULTA 4'!$B$3,$D$2:D33,'CONSULTA 4'!$B$4),"")</f>
        <v/>
      </c>
    </row>
    <row r="34" spans="1:7" x14ac:dyDescent="0.25">
      <c r="A34" s="4" t="s">
        <v>12</v>
      </c>
      <c r="B34" s="4" t="s">
        <v>28</v>
      </c>
      <c r="C34" s="4" t="s">
        <v>29</v>
      </c>
      <c r="D34" s="4" t="s">
        <v>4</v>
      </c>
      <c r="E34" s="5">
        <v>6.09</v>
      </c>
      <c r="F34" s="6">
        <v>46049</v>
      </c>
      <c r="G34" t="str">
        <f>IF(AND(A34='CONSULTA 4'!$B$3,D34='CONSULTA 4'!$B$4),COUNTIFS($A$2:A34,'CONSULTA 4'!$B$3,$D$2:D34,'CONSULTA 4'!$B$4),"")</f>
        <v/>
      </c>
    </row>
    <row r="35" spans="1:7" x14ac:dyDescent="0.25">
      <c r="A35" s="4" t="s">
        <v>12</v>
      </c>
      <c r="B35" s="4" t="s">
        <v>28</v>
      </c>
      <c r="C35" s="4" t="s">
        <v>29</v>
      </c>
      <c r="D35" s="4" t="s">
        <v>13</v>
      </c>
      <c r="E35" s="5">
        <v>6.49</v>
      </c>
      <c r="F35" s="6">
        <v>46049</v>
      </c>
      <c r="G35" t="str">
        <f>IF(AND(A35='CONSULTA 4'!$B$3,D35='CONSULTA 4'!$B$4),COUNTIFS($A$2:A35,'CONSULTA 4'!$B$3,$D$2:D35,'CONSULTA 4'!$B$4),"")</f>
        <v/>
      </c>
    </row>
    <row r="36" spans="1:7" x14ac:dyDescent="0.25">
      <c r="A36" s="4" t="s">
        <v>12</v>
      </c>
      <c r="B36" s="4" t="s">
        <v>28</v>
      </c>
      <c r="C36" s="4" t="s">
        <v>29</v>
      </c>
      <c r="D36" s="4" t="s">
        <v>15</v>
      </c>
      <c r="E36" s="5">
        <v>4.79</v>
      </c>
      <c r="F36" s="6">
        <v>46049</v>
      </c>
      <c r="G36" t="str">
        <f>IF(AND(A36='CONSULTA 4'!$B$3,D36='CONSULTA 4'!$B$4),COUNTIFS($A$2:A36,'CONSULTA 4'!$B$3,$D$2:D36,'CONSULTA 4'!$B$4),"")</f>
        <v/>
      </c>
    </row>
    <row r="37" spans="1:7" x14ac:dyDescent="0.25">
      <c r="A37" s="4" t="s">
        <v>12</v>
      </c>
      <c r="B37" s="4" t="s">
        <v>28</v>
      </c>
      <c r="C37" s="4" t="s">
        <v>29</v>
      </c>
      <c r="D37" s="4" t="s">
        <v>17</v>
      </c>
      <c r="E37" s="5">
        <v>4.09</v>
      </c>
      <c r="F37" s="6">
        <v>46049</v>
      </c>
      <c r="G37" t="str">
        <f>IF(AND(A37='CONSULTA 4'!$B$3,D37='CONSULTA 4'!$B$4),COUNTIFS($A$2:A37,'CONSULTA 4'!$B$3,$D$2:D37,'CONSULTA 4'!$B$4),"")</f>
        <v/>
      </c>
    </row>
    <row r="38" spans="1:7" x14ac:dyDescent="0.25">
      <c r="A38" s="4" t="s">
        <v>12</v>
      </c>
      <c r="B38" s="4" t="s">
        <v>28</v>
      </c>
      <c r="C38" s="4" t="s">
        <v>29</v>
      </c>
      <c r="D38" s="4" t="s">
        <v>4</v>
      </c>
      <c r="E38" s="5">
        <v>5.99</v>
      </c>
      <c r="F38" s="6">
        <v>46063</v>
      </c>
      <c r="G38" t="str">
        <f>IF(AND(A38='CONSULTA 4'!$B$3,D38='CONSULTA 4'!$B$4),COUNTIFS($A$2:A38,'CONSULTA 4'!$B$3,$D$2:D38,'CONSULTA 4'!$B$4),"")</f>
        <v/>
      </c>
    </row>
    <row r="39" spans="1:7" x14ac:dyDescent="0.25">
      <c r="A39" s="4" t="s">
        <v>12</v>
      </c>
      <c r="B39" s="4" t="s">
        <v>28</v>
      </c>
      <c r="C39" s="4" t="s">
        <v>29</v>
      </c>
      <c r="D39" s="4" t="s">
        <v>13</v>
      </c>
      <c r="E39" s="5">
        <v>6.39</v>
      </c>
      <c r="F39" s="6">
        <v>46063</v>
      </c>
      <c r="G39" t="str">
        <f>IF(AND(A39='CONSULTA 4'!$B$3,D39='CONSULTA 4'!$B$4),COUNTIFS($A$2:A39,'CONSULTA 4'!$B$3,$D$2:D39,'CONSULTA 4'!$B$4),"")</f>
        <v/>
      </c>
    </row>
    <row r="40" spans="1:7" x14ac:dyDescent="0.25">
      <c r="A40" s="4" t="s">
        <v>12</v>
      </c>
      <c r="B40" s="4" t="s">
        <v>28</v>
      </c>
      <c r="C40" s="4" t="s">
        <v>29</v>
      </c>
      <c r="D40" s="4" t="s">
        <v>15</v>
      </c>
      <c r="E40" s="5">
        <v>4.79</v>
      </c>
      <c r="F40" s="6">
        <v>46063</v>
      </c>
      <c r="G40" t="str">
        <f>IF(AND(A40='CONSULTA 4'!$B$3,D40='CONSULTA 4'!$B$4),COUNTIFS($A$2:A40,'CONSULTA 4'!$B$3,$D$2:D40,'CONSULTA 4'!$B$4),"")</f>
        <v/>
      </c>
    </row>
    <row r="41" spans="1:7" x14ac:dyDescent="0.25">
      <c r="A41" s="4" t="s">
        <v>12</v>
      </c>
      <c r="B41" s="4" t="s">
        <v>28</v>
      </c>
      <c r="C41" s="4" t="s">
        <v>29</v>
      </c>
      <c r="D41" s="4" t="s">
        <v>17</v>
      </c>
      <c r="E41" s="5">
        <v>4.09</v>
      </c>
      <c r="F41" s="6">
        <v>46063</v>
      </c>
      <c r="G41" t="str">
        <f>IF(AND(A41='CONSULTA 4'!$B$3,D41='CONSULTA 4'!$B$4),COUNTIFS($A$2:A41,'CONSULTA 4'!$B$3,$D$2:D41,'CONSULTA 4'!$B$4),"")</f>
        <v/>
      </c>
    </row>
    <row r="42" spans="1:7" x14ac:dyDescent="0.25">
      <c r="A42" s="4" t="s">
        <v>14</v>
      </c>
      <c r="B42" s="4" t="s">
        <v>30</v>
      </c>
      <c r="C42" s="4" t="s">
        <v>31</v>
      </c>
      <c r="D42" s="4" t="s">
        <v>4</v>
      </c>
      <c r="E42" s="5">
        <v>5.99</v>
      </c>
      <c r="F42" s="6">
        <v>46049</v>
      </c>
      <c r="G42" t="str">
        <f>IF(AND(A42='CONSULTA 4'!$B$3,D42='CONSULTA 4'!$B$4),COUNTIFS($A$2:A42,'CONSULTA 4'!$B$3,$D$2:D42,'CONSULTA 4'!$B$4),"")</f>
        <v/>
      </c>
    </row>
    <row r="43" spans="1:7" x14ac:dyDescent="0.25">
      <c r="A43" s="4" t="s">
        <v>14</v>
      </c>
      <c r="B43" s="4" t="s">
        <v>30</v>
      </c>
      <c r="C43" s="4" t="s">
        <v>31</v>
      </c>
      <c r="D43" s="4" t="s">
        <v>13</v>
      </c>
      <c r="E43" s="5">
        <v>6.25</v>
      </c>
      <c r="F43" s="6">
        <v>46049</v>
      </c>
      <c r="G43">
        <f>IF(AND(A43='CONSULTA 4'!$B$3,D43='CONSULTA 4'!$B$4),COUNTIFS($A$2:A43,'CONSULTA 4'!$B$3,$D$2:D43,'CONSULTA 4'!$B$4),"")</f>
        <v>1</v>
      </c>
    </row>
    <row r="44" spans="1:7" x14ac:dyDescent="0.25">
      <c r="A44" s="4" t="s">
        <v>14</v>
      </c>
      <c r="B44" s="4" t="s">
        <v>30</v>
      </c>
      <c r="C44" s="4" t="s">
        <v>31</v>
      </c>
      <c r="D44" s="4" t="s">
        <v>15</v>
      </c>
      <c r="E44" s="5">
        <v>4.6500000000000004</v>
      </c>
      <c r="F44" s="6">
        <v>46049</v>
      </c>
      <c r="G44" t="str">
        <f>IF(AND(A44='CONSULTA 4'!$B$3,D44='CONSULTA 4'!$B$4),COUNTIFS($A$2:A44,'CONSULTA 4'!$B$3,$D$2:D44,'CONSULTA 4'!$B$4),"")</f>
        <v/>
      </c>
    </row>
    <row r="45" spans="1:7" x14ac:dyDescent="0.25">
      <c r="A45" s="4" t="s">
        <v>14</v>
      </c>
      <c r="B45" s="4" t="s">
        <v>30</v>
      </c>
      <c r="C45" s="4" t="s">
        <v>31</v>
      </c>
      <c r="D45" s="4" t="s">
        <v>17</v>
      </c>
      <c r="E45" s="5">
        <v>5.99</v>
      </c>
      <c r="F45" s="6">
        <v>46049</v>
      </c>
      <c r="G45" t="str">
        <f>IF(AND(A45='CONSULTA 4'!$B$3,D45='CONSULTA 4'!$B$4),COUNTIFS($A$2:A45,'CONSULTA 4'!$B$3,$D$2:D45,'CONSULTA 4'!$B$4),"")</f>
        <v/>
      </c>
    </row>
    <row r="46" spans="1:7" x14ac:dyDescent="0.25">
      <c r="A46" s="4" t="s">
        <v>14</v>
      </c>
      <c r="B46" s="4" t="s">
        <v>30</v>
      </c>
      <c r="C46" s="4" t="s">
        <v>31</v>
      </c>
      <c r="D46" s="4" t="s">
        <v>4</v>
      </c>
      <c r="E46" s="5">
        <v>6.05</v>
      </c>
      <c r="F46" s="6">
        <v>46034</v>
      </c>
      <c r="G46" t="str">
        <f>IF(AND(A46='CONSULTA 4'!$B$3,D46='CONSULTA 4'!$B$4),COUNTIFS($A$2:A46,'CONSULTA 4'!$B$3,$D$2:D46,'CONSULTA 4'!$B$4),"")</f>
        <v/>
      </c>
    </row>
    <row r="47" spans="1:7" x14ac:dyDescent="0.25">
      <c r="A47" s="4" t="s">
        <v>14</v>
      </c>
      <c r="B47" s="4" t="s">
        <v>30</v>
      </c>
      <c r="C47" s="4" t="s">
        <v>31</v>
      </c>
      <c r="D47" s="4" t="s">
        <v>13</v>
      </c>
      <c r="E47" s="5">
        <v>6.25</v>
      </c>
      <c r="F47" s="6">
        <v>46034</v>
      </c>
      <c r="G47">
        <f>IF(AND(A47='CONSULTA 4'!$B$3,D47='CONSULTA 4'!$B$4),COUNTIFS($A$2:A47,'CONSULTA 4'!$B$3,$D$2:D47,'CONSULTA 4'!$B$4),"")</f>
        <v>2</v>
      </c>
    </row>
    <row r="48" spans="1:7" x14ac:dyDescent="0.25">
      <c r="A48" s="4" t="s">
        <v>14</v>
      </c>
      <c r="B48" s="4" t="s">
        <v>30</v>
      </c>
      <c r="C48" s="4" t="s">
        <v>31</v>
      </c>
      <c r="D48" s="4" t="s">
        <v>15</v>
      </c>
      <c r="E48" s="5">
        <v>4.45</v>
      </c>
      <c r="F48" s="6">
        <v>46034</v>
      </c>
      <c r="G48" t="str">
        <f>IF(AND(A48='CONSULTA 4'!$B$3,D48='CONSULTA 4'!$B$4),COUNTIFS($A$2:A48,'CONSULTA 4'!$B$3,$D$2:D48,'CONSULTA 4'!$B$4),"")</f>
        <v/>
      </c>
    </row>
    <row r="49" spans="1:7" x14ac:dyDescent="0.25">
      <c r="A49" s="4" t="s">
        <v>14</v>
      </c>
      <c r="B49" s="4" t="s">
        <v>30</v>
      </c>
      <c r="C49" s="4" t="s">
        <v>31</v>
      </c>
      <c r="D49" s="4" t="s">
        <v>17</v>
      </c>
      <c r="E49" s="5">
        <v>5.99</v>
      </c>
      <c r="F49" s="6">
        <v>46034</v>
      </c>
      <c r="G49" t="str">
        <f>IF(AND(A49='CONSULTA 4'!$B$3,D49='CONSULTA 4'!$B$4),COUNTIFS($A$2:A49,'CONSULTA 4'!$B$3,$D$2:D49,'CONSULTA 4'!$B$4),"")</f>
        <v/>
      </c>
    </row>
    <row r="50" spans="1:7" x14ac:dyDescent="0.25">
      <c r="A50" s="4" t="s">
        <v>14</v>
      </c>
      <c r="B50" s="4" t="s">
        <v>30</v>
      </c>
      <c r="C50" s="4" t="s">
        <v>31</v>
      </c>
      <c r="D50" s="4" t="s">
        <v>4</v>
      </c>
      <c r="E50" s="5">
        <v>6.05</v>
      </c>
      <c r="F50" s="6">
        <v>46042</v>
      </c>
      <c r="G50" t="str">
        <f>IF(AND(A50='CONSULTA 4'!$B$3,D50='CONSULTA 4'!$B$4),COUNTIFS($A$2:A50,'CONSULTA 4'!$B$3,$D$2:D50,'CONSULTA 4'!$B$4),"")</f>
        <v/>
      </c>
    </row>
    <row r="51" spans="1:7" x14ac:dyDescent="0.25">
      <c r="A51" s="4" t="s">
        <v>14</v>
      </c>
      <c r="B51" s="4" t="s">
        <v>30</v>
      </c>
      <c r="C51" s="4" t="s">
        <v>31</v>
      </c>
      <c r="D51" s="4" t="s">
        <v>13</v>
      </c>
      <c r="E51" s="5">
        <v>6.25</v>
      </c>
      <c r="F51" s="6">
        <v>46042</v>
      </c>
      <c r="G51">
        <f>IF(AND(A51='CONSULTA 4'!$B$3,D51='CONSULTA 4'!$B$4),COUNTIFS($A$2:A51,'CONSULTA 4'!$B$3,$D$2:D51,'CONSULTA 4'!$B$4),"")</f>
        <v>3</v>
      </c>
    </row>
    <row r="52" spans="1:7" x14ac:dyDescent="0.25">
      <c r="A52" s="4" t="s">
        <v>14</v>
      </c>
      <c r="B52" s="4" t="s">
        <v>30</v>
      </c>
      <c r="C52" s="4" t="s">
        <v>31</v>
      </c>
      <c r="D52" s="4" t="s">
        <v>15</v>
      </c>
      <c r="E52" s="5">
        <v>4.6500000000000004</v>
      </c>
      <c r="F52" s="6">
        <v>46042</v>
      </c>
      <c r="G52" t="str">
        <f>IF(AND(A52='CONSULTA 4'!$B$3,D52='CONSULTA 4'!$B$4),COUNTIFS($A$2:A52,'CONSULTA 4'!$B$3,$D$2:D52,'CONSULTA 4'!$B$4),"")</f>
        <v/>
      </c>
    </row>
    <row r="53" spans="1:7" x14ac:dyDescent="0.25">
      <c r="A53" s="4" t="s">
        <v>14</v>
      </c>
      <c r="B53" s="4" t="s">
        <v>30</v>
      </c>
      <c r="C53" s="4" t="s">
        <v>31</v>
      </c>
      <c r="D53" s="4" t="s">
        <v>17</v>
      </c>
      <c r="E53" s="5">
        <v>5.99</v>
      </c>
      <c r="F53" s="6">
        <v>46042</v>
      </c>
      <c r="G53" t="str">
        <f>IF(AND(A53='CONSULTA 4'!$B$3,D53='CONSULTA 4'!$B$4),COUNTIFS($A$2:A53,'CONSULTA 4'!$B$3,$D$2:D53,'CONSULTA 4'!$B$4),"")</f>
        <v/>
      </c>
    </row>
    <row r="54" spans="1:7" x14ac:dyDescent="0.25">
      <c r="A54" s="4" t="s">
        <v>14</v>
      </c>
      <c r="B54" s="4" t="s">
        <v>30</v>
      </c>
      <c r="C54" s="4" t="s">
        <v>31</v>
      </c>
      <c r="D54" s="4" t="s">
        <v>4</v>
      </c>
      <c r="E54" s="5">
        <v>5.99</v>
      </c>
      <c r="F54" s="6">
        <v>46047</v>
      </c>
      <c r="G54" t="str">
        <f>IF(AND(A54='CONSULTA 4'!$B$3,D54='CONSULTA 4'!$B$4),COUNTIFS($A$2:A54,'CONSULTA 4'!$B$3,$D$2:D54,'CONSULTA 4'!$B$4),"")</f>
        <v/>
      </c>
    </row>
    <row r="55" spans="1:7" x14ac:dyDescent="0.25">
      <c r="A55" s="4" t="s">
        <v>14</v>
      </c>
      <c r="B55" s="4" t="s">
        <v>30</v>
      </c>
      <c r="C55" s="4" t="s">
        <v>31</v>
      </c>
      <c r="D55" s="4" t="s">
        <v>13</v>
      </c>
      <c r="E55" s="5">
        <v>6.25</v>
      </c>
      <c r="F55" s="6">
        <v>46047</v>
      </c>
      <c r="G55">
        <f>IF(AND(A55='CONSULTA 4'!$B$3,D55='CONSULTA 4'!$B$4),COUNTIFS($A$2:A55,'CONSULTA 4'!$B$3,$D$2:D55,'CONSULTA 4'!$B$4),"")</f>
        <v>4</v>
      </c>
    </row>
    <row r="56" spans="1:7" x14ac:dyDescent="0.25">
      <c r="A56" s="4" t="s">
        <v>14</v>
      </c>
      <c r="B56" s="4" t="s">
        <v>30</v>
      </c>
      <c r="C56" s="4" t="s">
        <v>31</v>
      </c>
      <c r="D56" s="4" t="s">
        <v>15</v>
      </c>
      <c r="E56" s="5">
        <v>4.6500000000000004</v>
      </c>
      <c r="F56" s="6">
        <v>46047</v>
      </c>
      <c r="G56" t="str">
        <f>IF(AND(A56='CONSULTA 4'!$B$3,D56='CONSULTA 4'!$B$4),COUNTIFS($A$2:A56,'CONSULTA 4'!$B$3,$D$2:D56,'CONSULTA 4'!$B$4),"")</f>
        <v/>
      </c>
    </row>
    <row r="57" spans="1:7" x14ac:dyDescent="0.25">
      <c r="A57" s="4" t="s">
        <v>14</v>
      </c>
      <c r="B57" s="4" t="s">
        <v>30</v>
      </c>
      <c r="C57" s="4" t="s">
        <v>31</v>
      </c>
      <c r="D57" s="4" t="s">
        <v>17</v>
      </c>
      <c r="E57" s="5">
        <v>5.99</v>
      </c>
      <c r="F57" s="6">
        <v>46047</v>
      </c>
      <c r="G57" t="str">
        <f>IF(AND(A57='CONSULTA 4'!$B$3,D57='CONSULTA 4'!$B$4),COUNTIFS($A$2:A57,'CONSULTA 4'!$B$3,$D$2:D57,'CONSULTA 4'!$B$4),"")</f>
        <v/>
      </c>
    </row>
    <row r="58" spans="1:7" x14ac:dyDescent="0.25">
      <c r="A58" s="4" t="s">
        <v>14</v>
      </c>
      <c r="B58" s="4" t="s">
        <v>30</v>
      </c>
      <c r="C58" s="4" t="s">
        <v>31</v>
      </c>
      <c r="D58" s="4" t="s">
        <v>4</v>
      </c>
      <c r="E58" s="5">
        <v>5.99</v>
      </c>
      <c r="F58" s="6">
        <v>46055</v>
      </c>
      <c r="G58" t="str">
        <f>IF(AND(A58='CONSULTA 4'!$B$3,D58='CONSULTA 4'!$B$4),COUNTIFS($A$2:A58,'CONSULTA 4'!$B$3,$D$2:D58,'CONSULTA 4'!$B$4),"")</f>
        <v/>
      </c>
    </row>
    <row r="59" spans="1:7" x14ac:dyDescent="0.25">
      <c r="A59" s="4" t="s">
        <v>14</v>
      </c>
      <c r="B59" s="4" t="s">
        <v>30</v>
      </c>
      <c r="C59" s="4" t="s">
        <v>31</v>
      </c>
      <c r="D59" s="4" t="s">
        <v>13</v>
      </c>
      <c r="E59" s="5">
        <v>6.25</v>
      </c>
      <c r="F59" s="6">
        <v>46055</v>
      </c>
      <c r="G59">
        <f>IF(AND(A59='CONSULTA 4'!$B$3,D59='CONSULTA 4'!$B$4),COUNTIFS($A$2:A59,'CONSULTA 4'!$B$3,$D$2:D59,'CONSULTA 4'!$B$4),"")</f>
        <v>5</v>
      </c>
    </row>
    <row r="60" spans="1:7" x14ac:dyDescent="0.25">
      <c r="A60" s="4" t="s">
        <v>14</v>
      </c>
      <c r="B60" s="4" t="s">
        <v>30</v>
      </c>
      <c r="C60" s="4" t="s">
        <v>31</v>
      </c>
      <c r="D60" s="4" t="s">
        <v>15</v>
      </c>
      <c r="E60" s="5">
        <v>4.6500000000000004</v>
      </c>
      <c r="F60" s="6">
        <v>46055</v>
      </c>
      <c r="G60" t="str">
        <f>IF(AND(A60='CONSULTA 4'!$B$3,D60='CONSULTA 4'!$B$4),COUNTIFS($A$2:A60,'CONSULTA 4'!$B$3,$D$2:D60,'CONSULTA 4'!$B$4),"")</f>
        <v/>
      </c>
    </row>
    <row r="61" spans="1:7" x14ac:dyDescent="0.25">
      <c r="A61" s="4" t="s">
        <v>14</v>
      </c>
      <c r="B61" s="4" t="s">
        <v>30</v>
      </c>
      <c r="C61" s="4" t="s">
        <v>31</v>
      </c>
      <c r="D61" s="4" t="s">
        <v>17</v>
      </c>
      <c r="E61" s="5">
        <v>5.99</v>
      </c>
      <c r="F61" s="6">
        <v>46055</v>
      </c>
      <c r="G61" t="str">
        <f>IF(AND(A61='CONSULTA 4'!$B$3,D61='CONSULTA 4'!$B$4),COUNTIFS($A$2:A61,'CONSULTA 4'!$B$3,$D$2:D61,'CONSULTA 4'!$B$4),"")</f>
        <v/>
      </c>
    </row>
    <row r="62" spans="1:7" x14ac:dyDescent="0.25">
      <c r="A62" s="4" t="s">
        <v>16</v>
      </c>
      <c r="B62" s="4" t="s">
        <v>32</v>
      </c>
      <c r="C62" s="4" t="s">
        <v>29</v>
      </c>
      <c r="D62" s="4" t="s">
        <v>4</v>
      </c>
      <c r="E62" s="5">
        <v>6.09</v>
      </c>
      <c r="F62" s="6">
        <v>46064</v>
      </c>
      <c r="G62" t="str">
        <f>IF(AND(A62='CONSULTA 4'!$B$3,D62='CONSULTA 4'!$B$4),COUNTIFS($A$2:A62,'CONSULTA 4'!$B$3,$D$2:D62,'CONSULTA 4'!$B$4),"")</f>
        <v/>
      </c>
    </row>
    <row r="63" spans="1:7" x14ac:dyDescent="0.25">
      <c r="A63" s="4" t="s">
        <v>16</v>
      </c>
      <c r="B63" s="4" t="s">
        <v>32</v>
      </c>
      <c r="C63" s="4" t="s">
        <v>29</v>
      </c>
      <c r="D63" s="4" t="s">
        <v>13</v>
      </c>
      <c r="E63" s="5">
        <v>6.44</v>
      </c>
      <c r="F63" s="6">
        <v>46064</v>
      </c>
      <c r="G63" t="str">
        <f>IF(AND(A63='CONSULTA 4'!$B$3,D63='CONSULTA 4'!$B$4),COUNTIFS($A$2:A63,'CONSULTA 4'!$B$3,$D$2:D63,'CONSULTA 4'!$B$4),"")</f>
        <v/>
      </c>
    </row>
    <row r="64" spans="1:7" x14ac:dyDescent="0.25">
      <c r="A64" s="4" t="s">
        <v>16</v>
      </c>
      <c r="B64" s="4" t="s">
        <v>32</v>
      </c>
      <c r="C64" s="4" t="s">
        <v>29</v>
      </c>
      <c r="D64" s="4" t="s">
        <v>15</v>
      </c>
      <c r="E64" s="5">
        <v>4.99</v>
      </c>
      <c r="F64" s="6">
        <v>46064</v>
      </c>
      <c r="G64" t="str">
        <f>IF(AND(A64='CONSULTA 4'!$B$3,D64='CONSULTA 4'!$B$4),COUNTIFS($A$2:A64,'CONSULTA 4'!$B$3,$D$2:D64,'CONSULTA 4'!$B$4),"")</f>
        <v/>
      </c>
    </row>
    <row r="65" spans="1:7" x14ac:dyDescent="0.25">
      <c r="A65" s="4" t="s">
        <v>16</v>
      </c>
      <c r="B65" s="4" t="s">
        <v>32</v>
      </c>
      <c r="C65" s="4" t="s">
        <v>29</v>
      </c>
      <c r="D65" s="4" t="s">
        <v>17</v>
      </c>
      <c r="E65" s="5">
        <v>6.39</v>
      </c>
      <c r="F65" s="6">
        <v>46064</v>
      </c>
      <c r="G65" t="str">
        <f>IF(AND(A65='CONSULTA 4'!$B$3,D65='CONSULTA 4'!$B$4),COUNTIFS($A$2:A65,'CONSULTA 4'!$B$3,$D$2:D65,'CONSULTA 4'!$B$4),"")</f>
        <v/>
      </c>
    </row>
    <row r="66" spans="1:7" x14ac:dyDescent="0.25">
      <c r="A66" s="4" t="s">
        <v>16</v>
      </c>
      <c r="B66" s="4" t="s">
        <v>32</v>
      </c>
      <c r="C66" s="4" t="s">
        <v>29</v>
      </c>
      <c r="D66" s="4" t="s">
        <v>4</v>
      </c>
      <c r="E66" s="5">
        <v>6.29</v>
      </c>
      <c r="F66" s="6">
        <v>46042</v>
      </c>
      <c r="G66" t="str">
        <f>IF(AND(A66='CONSULTA 4'!$B$3,D66='CONSULTA 4'!$B$4),COUNTIFS($A$2:A66,'CONSULTA 4'!$B$3,$D$2:D66,'CONSULTA 4'!$B$4),"")</f>
        <v/>
      </c>
    </row>
    <row r="67" spans="1:7" x14ac:dyDescent="0.25">
      <c r="A67" s="4" t="s">
        <v>16</v>
      </c>
      <c r="B67" s="4" t="s">
        <v>32</v>
      </c>
      <c r="C67" s="4" t="s">
        <v>29</v>
      </c>
      <c r="D67" s="4" t="s">
        <v>13</v>
      </c>
      <c r="E67" s="5">
        <v>6.64</v>
      </c>
      <c r="F67" s="6">
        <v>46042</v>
      </c>
      <c r="G67" t="str">
        <f>IF(AND(A67='CONSULTA 4'!$B$3,D67='CONSULTA 4'!$B$4),COUNTIFS($A$2:A67,'CONSULTA 4'!$B$3,$D$2:D67,'CONSULTA 4'!$B$4),"")</f>
        <v/>
      </c>
    </row>
    <row r="68" spans="1:7" x14ac:dyDescent="0.25">
      <c r="A68" s="4" t="s">
        <v>16</v>
      </c>
      <c r="B68" s="4" t="s">
        <v>32</v>
      </c>
      <c r="C68" s="4" t="s">
        <v>29</v>
      </c>
      <c r="D68" s="4" t="s">
        <v>15</v>
      </c>
      <c r="E68" s="5">
        <v>4.99</v>
      </c>
      <c r="F68" s="6">
        <v>46042</v>
      </c>
      <c r="G68" t="str">
        <f>IF(AND(A68='CONSULTA 4'!$B$3,D68='CONSULTA 4'!$B$4),COUNTIFS($A$2:A68,'CONSULTA 4'!$B$3,$D$2:D68,'CONSULTA 4'!$B$4),"")</f>
        <v/>
      </c>
    </row>
    <row r="69" spans="1:7" x14ac:dyDescent="0.25">
      <c r="A69" s="4" t="s">
        <v>16</v>
      </c>
      <c r="B69" s="4" t="s">
        <v>32</v>
      </c>
      <c r="C69" s="4" t="s">
        <v>29</v>
      </c>
      <c r="D69" s="4" t="s">
        <v>17</v>
      </c>
      <c r="E69" s="5">
        <v>6.39</v>
      </c>
      <c r="F69" s="6">
        <v>46042</v>
      </c>
      <c r="G69" t="str">
        <f>IF(AND(A69='CONSULTA 4'!$B$3,D69='CONSULTA 4'!$B$4),COUNTIFS($A$2:A69,'CONSULTA 4'!$B$3,$D$2:D69,'CONSULTA 4'!$B$4),"")</f>
        <v/>
      </c>
    </row>
    <row r="70" spans="1:7" x14ac:dyDescent="0.25">
      <c r="A70" s="4" t="s">
        <v>16</v>
      </c>
      <c r="B70" s="4" t="s">
        <v>32</v>
      </c>
      <c r="C70" s="4" t="s">
        <v>29</v>
      </c>
      <c r="D70" s="4" t="s">
        <v>4</v>
      </c>
      <c r="E70" s="5">
        <v>5.95</v>
      </c>
      <c r="F70" s="6">
        <v>46049</v>
      </c>
      <c r="G70" t="str">
        <f>IF(AND(A70='CONSULTA 4'!$B$3,D70='CONSULTA 4'!$B$4),COUNTIFS($A$2:A70,'CONSULTA 4'!$B$3,$D$2:D70,'CONSULTA 4'!$B$4),"")</f>
        <v/>
      </c>
    </row>
    <row r="71" spans="1:7" x14ac:dyDescent="0.25">
      <c r="A71" s="4" t="s">
        <v>16</v>
      </c>
      <c r="B71" s="4" t="s">
        <v>32</v>
      </c>
      <c r="C71" s="4" t="s">
        <v>29</v>
      </c>
      <c r="D71" s="4" t="s">
        <v>13</v>
      </c>
      <c r="E71" s="5">
        <v>6.45</v>
      </c>
      <c r="F71" s="6">
        <v>46049</v>
      </c>
      <c r="G71" t="str">
        <f>IF(AND(A71='CONSULTA 4'!$B$3,D71='CONSULTA 4'!$B$4),COUNTIFS($A$2:A71,'CONSULTA 4'!$B$3,$D$2:D71,'CONSULTA 4'!$B$4),"")</f>
        <v/>
      </c>
    </row>
    <row r="72" spans="1:7" x14ac:dyDescent="0.25">
      <c r="A72" s="4" t="s">
        <v>16</v>
      </c>
      <c r="B72" s="4" t="s">
        <v>32</v>
      </c>
      <c r="C72" s="4" t="s">
        <v>29</v>
      </c>
      <c r="D72" s="4" t="s">
        <v>15</v>
      </c>
      <c r="E72" s="5">
        <v>4.99</v>
      </c>
      <c r="F72" s="6">
        <v>46049</v>
      </c>
      <c r="G72" t="str">
        <f>IF(AND(A72='CONSULTA 4'!$B$3,D72='CONSULTA 4'!$B$4),COUNTIFS($A$2:A72,'CONSULTA 4'!$B$3,$D$2:D72,'CONSULTA 4'!$B$4),"")</f>
        <v/>
      </c>
    </row>
    <row r="73" spans="1:7" x14ac:dyDescent="0.25">
      <c r="A73" s="4" t="s">
        <v>16</v>
      </c>
      <c r="B73" s="4" t="s">
        <v>32</v>
      </c>
      <c r="C73" s="4" t="s">
        <v>29</v>
      </c>
      <c r="D73" s="4" t="s">
        <v>17</v>
      </c>
      <c r="E73" s="5">
        <v>6.39</v>
      </c>
      <c r="F73" s="6">
        <v>46049</v>
      </c>
      <c r="G73" t="str">
        <f>IF(AND(A73='CONSULTA 4'!$B$3,D73='CONSULTA 4'!$B$4),COUNTIFS($A$2:A73,'CONSULTA 4'!$B$3,$D$2:D73,'CONSULTA 4'!$B$4),"")</f>
        <v/>
      </c>
    </row>
    <row r="74" spans="1:7" x14ac:dyDescent="0.25">
      <c r="A74" s="4" t="s">
        <v>16</v>
      </c>
      <c r="B74" s="4" t="s">
        <v>32</v>
      </c>
      <c r="C74" s="4" t="s">
        <v>29</v>
      </c>
      <c r="D74" s="4" t="s">
        <v>4</v>
      </c>
      <c r="E74" s="5">
        <v>5.99</v>
      </c>
      <c r="F74" s="6">
        <v>46076</v>
      </c>
      <c r="G74" t="str">
        <f>IF(AND(A74='CONSULTA 4'!$B$3,D74='CONSULTA 4'!$B$4),COUNTIFS($A$2:A74,'CONSULTA 4'!$B$3,$D$2:D74,'CONSULTA 4'!$B$4),"")</f>
        <v/>
      </c>
    </row>
    <row r="75" spans="1:7" x14ac:dyDescent="0.25">
      <c r="A75" s="4" t="s">
        <v>16</v>
      </c>
      <c r="B75" s="4" t="s">
        <v>32</v>
      </c>
      <c r="C75" s="4" t="s">
        <v>29</v>
      </c>
      <c r="D75" s="4" t="s">
        <v>13</v>
      </c>
      <c r="E75" s="5">
        <v>6.34</v>
      </c>
      <c r="F75" s="6">
        <v>46076</v>
      </c>
      <c r="G75" t="str">
        <f>IF(AND(A75='CONSULTA 4'!$B$3,D75='CONSULTA 4'!$B$4),COUNTIFS($A$2:A75,'CONSULTA 4'!$B$3,$D$2:D75,'CONSULTA 4'!$B$4),"")</f>
        <v/>
      </c>
    </row>
    <row r="76" spans="1:7" x14ac:dyDescent="0.25">
      <c r="A76" s="4" t="s">
        <v>16</v>
      </c>
      <c r="B76" s="4" t="s">
        <v>32</v>
      </c>
      <c r="C76" s="4" t="s">
        <v>29</v>
      </c>
      <c r="D76" s="4" t="s">
        <v>15</v>
      </c>
      <c r="E76" s="5">
        <v>4.99</v>
      </c>
      <c r="F76" s="6">
        <v>46076</v>
      </c>
      <c r="G76" t="str">
        <f>IF(AND(A76='CONSULTA 4'!$B$3,D76='CONSULTA 4'!$B$4),COUNTIFS($A$2:A76,'CONSULTA 4'!$B$3,$D$2:D76,'CONSULTA 4'!$B$4),"")</f>
        <v/>
      </c>
    </row>
    <row r="77" spans="1:7" x14ac:dyDescent="0.25">
      <c r="A77" s="4" t="s">
        <v>16</v>
      </c>
      <c r="B77" s="4" t="s">
        <v>32</v>
      </c>
      <c r="C77" s="4" t="s">
        <v>29</v>
      </c>
      <c r="D77" s="4" t="s">
        <v>17</v>
      </c>
      <c r="E77" s="5">
        <v>6.39</v>
      </c>
      <c r="F77" s="6">
        <v>46076</v>
      </c>
      <c r="G77" t="str">
        <f>IF(AND(A77='CONSULTA 4'!$B$3,D77='CONSULTA 4'!$B$4),COUNTIFS($A$2:A77,'CONSULTA 4'!$B$3,$D$2:D77,'CONSULTA 4'!$B$4),"")</f>
        <v/>
      </c>
    </row>
    <row r="78" spans="1:7" x14ac:dyDescent="0.25">
      <c r="A78" s="4" t="s">
        <v>16</v>
      </c>
      <c r="B78" s="4" t="s">
        <v>32</v>
      </c>
      <c r="C78" s="4" t="s">
        <v>29</v>
      </c>
      <c r="D78" s="4" t="s">
        <v>4</v>
      </c>
      <c r="E78" s="5">
        <v>6.29</v>
      </c>
      <c r="F78" s="6">
        <v>46036</v>
      </c>
      <c r="G78" t="str">
        <f>IF(AND(A78='CONSULTA 4'!$B$3,D78='CONSULTA 4'!$B$4),COUNTIFS($A$2:A78,'CONSULTA 4'!$B$3,$D$2:D78,'CONSULTA 4'!$B$4),"")</f>
        <v/>
      </c>
    </row>
    <row r="79" spans="1:7" x14ac:dyDescent="0.25">
      <c r="A79" s="4" t="s">
        <v>16</v>
      </c>
      <c r="B79" s="4" t="s">
        <v>32</v>
      </c>
      <c r="C79" s="4" t="s">
        <v>29</v>
      </c>
      <c r="D79" s="4" t="s">
        <v>13</v>
      </c>
      <c r="E79" s="5">
        <v>6.64</v>
      </c>
      <c r="F79" s="6">
        <v>46036</v>
      </c>
      <c r="G79" t="str">
        <f>IF(AND(A79='CONSULTA 4'!$B$3,D79='CONSULTA 4'!$B$4),COUNTIFS($A$2:A79,'CONSULTA 4'!$B$3,$D$2:D79,'CONSULTA 4'!$B$4),"")</f>
        <v/>
      </c>
    </row>
    <row r="80" spans="1:7" x14ac:dyDescent="0.25">
      <c r="A80" s="4" t="s">
        <v>16</v>
      </c>
      <c r="B80" s="4" t="s">
        <v>32</v>
      </c>
      <c r="C80" s="4" t="s">
        <v>29</v>
      </c>
      <c r="D80" s="4" t="s">
        <v>15</v>
      </c>
      <c r="E80" s="5">
        <v>4.99</v>
      </c>
      <c r="F80" s="6">
        <v>46036</v>
      </c>
      <c r="G80" t="str">
        <f>IF(AND(A80='CONSULTA 4'!$B$3,D80='CONSULTA 4'!$B$4),COUNTIFS($A$2:A80,'CONSULTA 4'!$B$3,$D$2:D80,'CONSULTA 4'!$B$4),"")</f>
        <v/>
      </c>
    </row>
    <row r="81" spans="1:7" x14ac:dyDescent="0.25">
      <c r="A81" s="4" t="s">
        <v>16</v>
      </c>
      <c r="B81" s="4" t="s">
        <v>32</v>
      </c>
      <c r="C81" s="4" t="s">
        <v>29</v>
      </c>
      <c r="D81" s="4" t="s">
        <v>17</v>
      </c>
      <c r="E81" s="5">
        <v>6.39</v>
      </c>
      <c r="F81" s="6">
        <v>46036</v>
      </c>
      <c r="G81" t="str">
        <f>IF(AND(A81='CONSULTA 4'!$B$3,D81='CONSULTA 4'!$B$4),COUNTIFS($A$2:A81,'CONSULTA 4'!$B$3,$D$2:D81,'CONSULTA 4'!$B$4),"")</f>
        <v/>
      </c>
    </row>
    <row r="82" spans="1:7" x14ac:dyDescent="0.25">
      <c r="A82" s="4" t="s">
        <v>18</v>
      </c>
      <c r="B82" s="4" t="s">
        <v>33</v>
      </c>
      <c r="C82" s="4" t="s">
        <v>34</v>
      </c>
      <c r="D82" s="4" t="s">
        <v>4</v>
      </c>
      <c r="E82" s="5">
        <v>6.05</v>
      </c>
      <c r="F82" s="6">
        <v>46028</v>
      </c>
      <c r="G82" t="str">
        <f>IF(AND(A82='CONSULTA 4'!$B$3,D82='CONSULTA 4'!$B$4),COUNTIFS($A$2:A82,'CONSULTA 4'!$B$3,$D$2:D82,'CONSULTA 4'!$B$4),"")</f>
        <v/>
      </c>
    </row>
    <row r="83" spans="1:7" x14ac:dyDescent="0.25">
      <c r="A83" s="4" t="s">
        <v>18</v>
      </c>
      <c r="B83" s="4" t="s">
        <v>33</v>
      </c>
      <c r="C83" s="4" t="s">
        <v>34</v>
      </c>
      <c r="D83" s="4" t="s">
        <v>13</v>
      </c>
      <c r="E83" s="5">
        <v>6.05</v>
      </c>
      <c r="F83" s="6">
        <v>46028</v>
      </c>
      <c r="G83" t="str">
        <f>IF(AND(A83='CONSULTA 4'!$B$3,D83='CONSULTA 4'!$B$4),COUNTIFS($A$2:A83,'CONSULTA 4'!$B$3,$D$2:D83,'CONSULTA 4'!$B$4),"")</f>
        <v/>
      </c>
    </row>
    <row r="84" spans="1:7" x14ac:dyDescent="0.25">
      <c r="A84" s="4" t="s">
        <v>18</v>
      </c>
      <c r="B84" s="4" t="s">
        <v>33</v>
      </c>
      <c r="C84" s="4" t="s">
        <v>34</v>
      </c>
      <c r="D84" s="4" t="s">
        <v>15</v>
      </c>
      <c r="E84" s="5">
        <v>4.3899999999999997</v>
      </c>
      <c r="F84" s="6">
        <v>46028</v>
      </c>
      <c r="G84" t="str">
        <f>IF(AND(A84='CONSULTA 4'!$B$3,D84='CONSULTA 4'!$B$4),COUNTIFS($A$2:A84,'CONSULTA 4'!$B$3,$D$2:D84,'CONSULTA 4'!$B$4),"")</f>
        <v/>
      </c>
    </row>
    <row r="85" spans="1:7" x14ac:dyDescent="0.25">
      <c r="A85" s="4" t="s">
        <v>18</v>
      </c>
      <c r="B85" s="4" t="s">
        <v>33</v>
      </c>
      <c r="C85" s="4" t="s">
        <v>34</v>
      </c>
      <c r="D85" s="4" t="s">
        <v>17</v>
      </c>
      <c r="E85" s="5">
        <v>5.89</v>
      </c>
      <c r="F85" s="6">
        <v>46028</v>
      </c>
      <c r="G85" t="str">
        <f>IF(AND(A85='CONSULTA 4'!$B$3,D85='CONSULTA 4'!$B$4),COUNTIFS($A$2:A85,'CONSULTA 4'!$B$3,$D$2:D85,'CONSULTA 4'!$B$4),"")</f>
        <v/>
      </c>
    </row>
    <row r="86" spans="1:7" x14ac:dyDescent="0.25">
      <c r="A86" s="4" t="s">
        <v>18</v>
      </c>
      <c r="B86" s="4" t="s">
        <v>33</v>
      </c>
      <c r="C86" s="4" t="s">
        <v>34</v>
      </c>
      <c r="D86" s="4" t="s">
        <v>4</v>
      </c>
      <c r="E86" s="5">
        <v>5.99</v>
      </c>
      <c r="F86" s="6">
        <v>46034</v>
      </c>
      <c r="G86" t="str">
        <f>IF(AND(A86='CONSULTA 4'!$B$3,D86='CONSULTA 4'!$B$4),COUNTIFS($A$2:A86,'CONSULTA 4'!$B$3,$D$2:D86,'CONSULTA 4'!$B$4),"")</f>
        <v/>
      </c>
    </row>
    <row r="87" spans="1:7" x14ac:dyDescent="0.25">
      <c r="A87" s="4" t="s">
        <v>18</v>
      </c>
      <c r="B87" s="4" t="s">
        <v>33</v>
      </c>
      <c r="C87" s="4" t="s">
        <v>34</v>
      </c>
      <c r="D87" s="4" t="s">
        <v>13</v>
      </c>
      <c r="E87" s="5">
        <v>5.99</v>
      </c>
      <c r="F87" s="6">
        <v>46034</v>
      </c>
      <c r="G87" t="str">
        <f>IF(AND(A87='CONSULTA 4'!$B$3,D87='CONSULTA 4'!$B$4),COUNTIFS($A$2:A87,'CONSULTA 4'!$B$3,$D$2:D87,'CONSULTA 4'!$B$4),"")</f>
        <v/>
      </c>
    </row>
    <row r="88" spans="1:7" x14ac:dyDescent="0.25">
      <c r="A88" s="4" t="s">
        <v>18</v>
      </c>
      <c r="B88" s="4" t="s">
        <v>33</v>
      </c>
      <c r="C88" s="4" t="s">
        <v>34</v>
      </c>
      <c r="D88" s="4" t="s">
        <v>15</v>
      </c>
      <c r="E88" s="5">
        <v>4.49</v>
      </c>
      <c r="F88" s="6">
        <v>46034</v>
      </c>
      <c r="G88" t="str">
        <f>IF(AND(A88='CONSULTA 4'!$B$3,D88='CONSULTA 4'!$B$4),COUNTIFS($A$2:A88,'CONSULTA 4'!$B$3,$D$2:D88,'CONSULTA 4'!$B$4),"")</f>
        <v/>
      </c>
    </row>
    <row r="89" spans="1:7" x14ac:dyDescent="0.25">
      <c r="A89" s="4" t="s">
        <v>18</v>
      </c>
      <c r="B89" s="4" t="s">
        <v>33</v>
      </c>
      <c r="C89" s="4" t="s">
        <v>34</v>
      </c>
      <c r="D89" s="4" t="s">
        <v>17</v>
      </c>
      <c r="E89" s="5">
        <v>5.89</v>
      </c>
      <c r="F89" s="6">
        <v>46034</v>
      </c>
      <c r="G89" t="str">
        <f>IF(AND(A89='CONSULTA 4'!$B$3,D89='CONSULTA 4'!$B$4),COUNTIFS($A$2:A89,'CONSULTA 4'!$B$3,$D$2:D89,'CONSULTA 4'!$B$4),"")</f>
        <v/>
      </c>
    </row>
    <row r="90" spans="1:7" x14ac:dyDescent="0.25">
      <c r="A90" s="4" t="s">
        <v>18</v>
      </c>
      <c r="B90" s="4" t="s">
        <v>33</v>
      </c>
      <c r="C90" s="4" t="s">
        <v>34</v>
      </c>
      <c r="D90" s="4" t="s">
        <v>4</v>
      </c>
      <c r="E90" s="5">
        <v>5.99</v>
      </c>
      <c r="F90" s="6">
        <v>46042</v>
      </c>
      <c r="G90" t="str">
        <f>IF(AND(A90='CONSULTA 4'!$B$3,D90='CONSULTA 4'!$B$4),COUNTIFS($A$2:A90,'CONSULTA 4'!$B$3,$D$2:D90,'CONSULTA 4'!$B$4),"")</f>
        <v/>
      </c>
    </row>
    <row r="91" spans="1:7" x14ac:dyDescent="0.25">
      <c r="A91" s="4" t="s">
        <v>18</v>
      </c>
      <c r="B91" s="4" t="s">
        <v>33</v>
      </c>
      <c r="C91" s="4" t="s">
        <v>34</v>
      </c>
      <c r="D91" s="4" t="s">
        <v>13</v>
      </c>
      <c r="E91" s="5">
        <v>5.99</v>
      </c>
      <c r="F91" s="6">
        <v>46042</v>
      </c>
      <c r="G91" t="str">
        <f>IF(AND(A91='CONSULTA 4'!$B$3,D91='CONSULTA 4'!$B$4),COUNTIFS($A$2:A91,'CONSULTA 4'!$B$3,$D$2:D91,'CONSULTA 4'!$B$4),"")</f>
        <v/>
      </c>
    </row>
    <row r="92" spans="1:7" x14ac:dyDescent="0.25">
      <c r="A92" s="4" t="s">
        <v>18</v>
      </c>
      <c r="B92" s="4" t="s">
        <v>33</v>
      </c>
      <c r="C92" s="4" t="s">
        <v>34</v>
      </c>
      <c r="D92" s="4" t="s">
        <v>15</v>
      </c>
      <c r="E92" s="5">
        <v>4.59</v>
      </c>
      <c r="F92" s="6">
        <v>46042</v>
      </c>
      <c r="G92" t="str">
        <f>IF(AND(A92='CONSULTA 4'!$B$3,D92='CONSULTA 4'!$B$4),COUNTIFS($A$2:A92,'CONSULTA 4'!$B$3,$D$2:D92,'CONSULTA 4'!$B$4),"")</f>
        <v/>
      </c>
    </row>
    <row r="93" spans="1:7" x14ac:dyDescent="0.25">
      <c r="A93" s="4" t="s">
        <v>18</v>
      </c>
      <c r="B93" s="4" t="s">
        <v>33</v>
      </c>
      <c r="C93" s="4" t="s">
        <v>34</v>
      </c>
      <c r="D93" s="4" t="s">
        <v>17</v>
      </c>
      <c r="E93" s="5">
        <v>5.89</v>
      </c>
      <c r="F93" s="6">
        <v>46042</v>
      </c>
      <c r="G93" t="str">
        <f>IF(AND(A93='CONSULTA 4'!$B$3,D93='CONSULTA 4'!$B$4),COUNTIFS($A$2:A93,'CONSULTA 4'!$B$3,$D$2:D93,'CONSULTA 4'!$B$4),"")</f>
        <v/>
      </c>
    </row>
    <row r="94" spans="1:7" x14ac:dyDescent="0.25">
      <c r="A94" s="4" t="s">
        <v>18</v>
      </c>
      <c r="B94" s="4" t="s">
        <v>33</v>
      </c>
      <c r="C94" s="4" t="s">
        <v>34</v>
      </c>
      <c r="D94" s="4" t="s">
        <v>4</v>
      </c>
      <c r="E94" s="5">
        <v>5.99</v>
      </c>
      <c r="F94" s="6">
        <v>46049</v>
      </c>
      <c r="G94" t="str">
        <f>IF(AND(A94='CONSULTA 4'!$B$3,D94='CONSULTA 4'!$B$4),COUNTIFS($A$2:A94,'CONSULTA 4'!$B$3,$D$2:D94,'CONSULTA 4'!$B$4),"")</f>
        <v/>
      </c>
    </row>
    <row r="95" spans="1:7" x14ac:dyDescent="0.25">
      <c r="A95" s="4" t="s">
        <v>18</v>
      </c>
      <c r="B95" s="4" t="s">
        <v>33</v>
      </c>
      <c r="C95" s="4" t="s">
        <v>34</v>
      </c>
      <c r="D95" s="4" t="s">
        <v>13</v>
      </c>
      <c r="E95" s="5">
        <v>5.99</v>
      </c>
      <c r="F95" s="6">
        <v>46049</v>
      </c>
      <c r="G95" t="str">
        <f>IF(AND(A95='CONSULTA 4'!$B$3,D95='CONSULTA 4'!$B$4),COUNTIFS($A$2:A95,'CONSULTA 4'!$B$3,$D$2:D95,'CONSULTA 4'!$B$4),"")</f>
        <v/>
      </c>
    </row>
    <row r="96" spans="1:7" x14ac:dyDescent="0.25">
      <c r="A96" s="4" t="s">
        <v>18</v>
      </c>
      <c r="B96" s="4" t="s">
        <v>33</v>
      </c>
      <c r="C96" s="4" t="s">
        <v>34</v>
      </c>
      <c r="D96" s="4" t="s">
        <v>15</v>
      </c>
      <c r="E96" s="5">
        <v>4.49</v>
      </c>
      <c r="F96" s="6">
        <v>46049</v>
      </c>
      <c r="G96" t="str">
        <f>IF(AND(A96='CONSULTA 4'!$B$3,D96='CONSULTA 4'!$B$4),COUNTIFS($A$2:A96,'CONSULTA 4'!$B$3,$D$2:D96,'CONSULTA 4'!$B$4),"")</f>
        <v/>
      </c>
    </row>
    <row r="97" spans="1:7" x14ac:dyDescent="0.25">
      <c r="A97" s="4" t="s">
        <v>18</v>
      </c>
      <c r="B97" s="4" t="s">
        <v>33</v>
      </c>
      <c r="C97" s="4" t="s">
        <v>34</v>
      </c>
      <c r="D97" s="4" t="s">
        <v>17</v>
      </c>
      <c r="E97" s="5">
        <v>5.89</v>
      </c>
      <c r="F97" s="6">
        <v>46049</v>
      </c>
      <c r="G97" t="str">
        <f>IF(AND(A97='CONSULTA 4'!$B$3,D97='CONSULTA 4'!$B$4),COUNTIFS($A$2:A97,'CONSULTA 4'!$B$3,$D$2:D97,'CONSULTA 4'!$B$4),"")</f>
        <v/>
      </c>
    </row>
    <row r="98" spans="1:7" x14ac:dyDescent="0.25">
      <c r="A98" s="4" t="s">
        <v>18</v>
      </c>
      <c r="B98" s="4" t="s">
        <v>33</v>
      </c>
      <c r="C98" s="4" t="s">
        <v>34</v>
      </c>
      <c r="D98" s="4" t="s">
        <v>4</v>
      </c>
      <c r="E98" s="5">
        <v>5.99</v>
      </c>
      <c r="F98" s="6">
        <v>46063</v>
      </c>
      <c r="G98" t="str">
        <f>IF(AND(A98='CONSULTA 4'!$B$3,D98='CONSULTA 4'!$B$4),COUNTIFS($A$2:A98,'CONSULTA 4'!$B$3,$D$2:D98,'CONSULTA 4'!$B$4),"")</f>
        <v/>
      </c>
    </row>
    <row r="99" spans="1:7" x14ac:dyDescent="0.25">
      <c r="A99" s="4" t="s">
        <v>18</v>
      </c>
      <c r="B99" s="4" t="s">
        <v>33</v>
      </c>
      <c r="C99" s="4" t="s">
        <v>34</v>
      </c>
      <c r="D99" s="4" t="s">
        <v>13</v>
      </c>
      <c r="E99" s="5">
        <v>5.99</v>
      </c>
      <c r="F99" s="6">
        <v>46063</v>
      </c>
      <c r="G99" t="str">
        <f>IF(AND(A99='CONSULTA 4'!$B$3,D99='CONSULTA 4'!$B$4),COUNTIFS($A$2:A99,'CONSULTA 4'!$B$3,$D$2:D99,'CONSULTA 4'!$B$4),"")</f>
        <v/>
      </c>
    </row>
    <row r="100" spans="1:7" x14ac:dyDescent="0.25">
      <c r="A100" s="4" t="s">
        <v>18</v>
      </c>
      <c r="B100" s="4" t="s">
        <v>33</v>
      </c>
      <c r="C100" s="4" t="s">
        <v>34</v>
      </c>
      <c r="D100" s="4" t="s">
        <v>15</v>
      </c>
      <c r="E100" s="5">
        <v>4.49</v>
      </c>
      <c r="F100" s="6">
        <v>46063</v>
      </c>
      <c r="G100" t="str">
        <f>IF(AND(A100='CONSULTA 4'!$B$3,D100='CONSULTA 4'!$B$4),COUNTIFS($A$2:A100,'CONSULTA 4'!$B$3,$D$2:D100,'CONSULTA 4'!$B$4),"")</f>
        <v/>
      </c>
    </row>
    <row r="101" spans="1:7" x14ac:dyDescent="0.25">
      <c r="A101" s="4" t="s">
        <v>18</v>
      </c>
      <c r="B101" s="4" t="s">
        <v>33</v>
      </c>
      <c r="C101" s="4" t="s">
        <v>34</v>
      </c>
      <c r="D101" s="4" t="s">
        <v>17</v>
      </c>
      <c r="E101" s="5">
        <v>5.89</v>
      </c>
      <c r="F101" s="6">
        <v>46063</v>
      </c>
      <c r="G101" t="str">
        <f>IF(AND(A101='CONSULTA 4'!$B$3,D101='CONSULTA 4'!$B$4),COUNTIFS($A$2:A101,'CONSULTA 4'!$B$3,$D$2:D101,'CONSULTA 4'!$B$4),"")</f>
        <v/>
      </c>
    </row>
  </sheetData>
  <autoFilter ref="A1:F10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CONSULTA 1</vt:lpstr>
      <vt:lpstr>CONSULTA 2</vt:lpstr>
      <vt:lpstr>CONSULTA 3</vt:lpstr>
      <vt:lpstr>CONSULTA 4</vt:lpstr>
      <vt:lpstr>LISTAS</vt:lpstr>
      <vt:lpstr>GRÁFICO 1</vt:lpstr>
      <vt:lpstr>GRÁFICO 2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Souza Ponticelli</cp:lastModifiedBy>
  <dcterms:created xsi:type="dcterms:W3CDTF">2026-09-14T13:52:57Z</dcterms:created>
  <dcterms:modified xsi:type="dcterms:W3CDTF">2026-09-14T15:15:31Z</dcterms:modified>
</cp:coreProperties>
</file>